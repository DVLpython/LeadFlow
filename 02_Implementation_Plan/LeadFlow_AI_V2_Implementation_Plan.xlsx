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 Stack" sheetId="1" state="visible" r:id="rId1"/>
    <sheet xmlns:r="http://schemas.openxmlformats.org/officeDocument/2006/relationships" name="Implementation Plan" sheetId="2" state="visible" r:id="rId2"/>
    <sheet xmlns:r="http://schemas.openxmlformats.org/officeDocument/2006/relationships" name="Budget Model" sheetId="3" state="visible" r:id="rId3"/>
    <sheet xmlns:r="http://schemas.openxmlformats.org/officeDocument/2006/relationships" name="Staffing Plan" sheetId="4" state="visible" r:id="rId4"/>
    <sheet xmlns:r="http://schemas.openxmlformats.org/officeDocument/2006/relationships" name="Scenario Summary"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38">
    <font>
      <name val="Calibri"/>
      <family val="2"/>
      <color theme="1"/>
      <sz val="11"/>
      <scheme val="minor"/>
    </font>
    <font>
      <name val="Arial"/>
      <b val="1"/>
      <color rgb="00FFFFFF"/>
      <sz val="14"/>
    </font>
    <font>
      <name val="Arial"/>
      <color rgb="00888888"/>
      <sz val="10"/>
    </font>
    <font>
      <name val="Arial"/>
      <b val="1"/>
      <color rgb="00FFFFFF"/>
      <sz val="11"/>
    </font>
    <font>
      <name val="Arial"/>
      <b val="1"/>
      <color rgb="00FFFFFF"/>
      <sz val="10"/>
    </font>
    <font>
      <name val="Arial"/>
      <color rgb="00000000"/>
      <sz val="9"/>
    </font>
    <font>
      <name val="Arial"/>
      <b val="1"/>
      <color rgb="00000000"/>
      <sz val="9"/>
    </font>
    <font>
      <name val="Arial"/>
      <color rgb="000000FF"/>
      <sz val="9"/>
    </font>
    <font>
      <name val="Arial"/>
      <color rgb="001E8449"/>
      <sz val="9"/>
    </font>
    <font>
      <name val="Arial"/>
      <color rgb="00555555"/>
      <sz val="9"/>
    </font>
    <font>
      <name val="Arial"/>
      <color rgb="00C0392B"/>
      <sz val="9"/>
    </font>
    <font>
      <name val="Arial"/>
      <color rgb="001B4F72"/>
      <sz val="9"/>
    </font>
    <font>
      <name val="Arial"/>
      <color rgb="00000000"/>
      <sz val="10"/>
    </font>
    <font>
      <name val="Arial"/>
      <color rgb="000000FF"/>
      <sz val="10"/>
    </font>
    <font>
      <name val="Arial"/>
      <b val="1"/>
      <color rgb="00C0392B"/>
      <sz val="9"/>
    </font>
    <font>
      <name val="Arial"/>
      <b val="1"/>
      <color rgb="001E8449"/>
      <sz val="9"/>
    </font>
    <font>
      <name val="Arial"/>
      <b val="1"/>
      <color rgb="00FFFFFF"/>
      <sz val="13"/>
    </font>
    <font>
      <name val="Arial"/>
      <color rgb="00888888"/>
      <sz val="9"/>
    </font>
    <font>
      <name val="Arial"/>
      <sz val="10"/>
    </font>
    <font>
      <name val="Arial"/>
      <b val="1"/>
      <color rgb="000000FF"/>
      <sz val="10"/>
    </font>
    <font>
      <name val="Arial"/>
      <b val="1"/>
      <sz val="10"/>
    </font>
    <font>
      <name val="Arial"/>
      <b val="1"/>
      <color rgb="001E8449"/>
      <sz val="10"/>
    </font>
    <font>
      <name val="Arial"/>
      <b val="1"/>
      <color rgb="00C0392B"/>
      <sz val="10"/>
    </font>
    <font>
      <name val="Arial"/>
      <b val="1"/>
      <color rgb="001B4F72"/>
      <sz val="10"/>
    </font>
    <font>
      <name val="Arial"/>
      <b val="1"/>
      <color rgb="002E86C1"/>
      <sz val="10"/>
    </font>
    <font>
      <name val="Arial"/>
      <b val="1"/>
      <color rgb="00000000"/>
      <sz val="10"/>
    </font>
    <font>
      <name val="Arial"/>
      <color rgb="001B4F72"/>
      <sz val="10"/>
    </font>
    <font>
      <name val="Arial"/>
      <color rgb="002E86C1"/>
      <sz val="10"/>
    </font>
    <font>
      <name val="Arial"/>
      <b val="1"/>
      <color rgb="00E67E22"/>
      <sz val="10"/>
    </font>
    <font>
      <name val="Arial"/>
      <color rgb="00E67E22"/>
      <sz val="10"/>
    </font>
    <font>
      <name val="Arial"/>
      <color rgb="001E8449"/>
      <sz val="10"/>
    </font>
    <font>
      <name val="Arial"/>
      <color rgb="00AAAAAA"/>
      <sz val="10"/>
    </font>
    <font>
      <name val="Arial"/>
      <b val="1"/>
      <color rgb="00FFFFFF"/>
      <sz val="12"/>
    </font>
    <font>
      <name val="Arial"/>
      <i val="1"/>
      <color rgb="00C0392B"/>
      <sz val="9"/>
    </font>
    <font>
      <name val="Arial"/>
      <i val="1"/>
      <color rgb="002E86C1"/>
      <sz val="9"/>
    </font>
    <font>
      <name val="Arial"/>
      <i val="1"/>
      <color rgb="001E8449"/>
      <sz val="9"/>
    </font>
    <font>
      <name val="Arial"/>
      <color rgb="00C0392B"/>
      <sz val="10"/>
    </font>
    <font>
      <name val="Arial"/>
      <i val="1"/>
      <color rgb="001B4F72"/>
      <sz val="9"/>
    </font>
  </fonts>
  <fills count="13">
    <fill>
      <patternFill/>
    </fill>
    <fill>
      <patternFill patternType="gray125"/>
    </fill>
    <fill>
      <patternFill patternType="solid">
        <fgColor rgb="001B4F72"/>
      </patternFill>
    </fill>
    <fill>
      <patternFill patternType="solid">
        <fgColor rgb="002E86C1"/>
      </patternFill>
    </fill>
    <fill>
      <patternFill patternType="solid">
        <fgColor rgb="00F2F3F4"/>
      </patternFill>
    </fill>
    <fill>
      <patternFill patternType="solid">
        <fgColor rgb="00FFFFFF"/>
      </patternFill>
    </fill>
    <fill>
      <patternFill patternType="solid">
        <fgColor rgb="00E67E22"/>
      </patternFill>
    </fill>
    <fill>
      <patternFill patternType="solid">
        <fgColor rgb="00FFF9C4"/>
      </patternFill>
    </fill>
    <fill>
      <patternFill patternType="solid">
        <fgColor rgb="00D5F5E3"/>
      </patternFill>
    </fill>
    <fill>
      <patternFill patternType="solid">
        <fgColor rgb="001E8449"/>
      </patternFill>
    </fill>
    <fill>
      <patternFill patternType="solid">
        <fgColor rgb="00FADBD8"/>
      </patternFill>
    </fill>
    <fill>
      <patternFill patternType="solid">
        <fgColor rgb="00D6EAF8"/>
      </patternFill>
    </fill>
    <fill>
      <patternFill patternType="solid">
        <fgColor rgb="00C0392B"/>
      </patternFill>
    </fill>
  </fills>
  <borders count="12">
    <border>
      <left/>
      <right/>
      <top/>
      <bottom/>
      <diagonal/>
    </border>
    <border>
      <left style="medium">
        <color rgb="001B4F72"/>
      </left>
      <right style="medium">
        <color rgb="001B4F72"/>
      </right>
      <top style="medium">
        <color rgb="001B4F72"/>
      </top>
      <bottom style="medium">
        <color rgb="001B4F72"/>
      </bottom>
    </border>
    <border>
      <left style="thin">
        <color rgb="00AAAAAA"/>
      </left>
      <right style="thin">
        <color rgb="00AAAAAA"/>
      </right>
      <top style="thin">
        <color rgb="00AAAAAA"/>
      </top>
      <bottom style="thin">
        <color rgb="00AAAAAA"/>
      </bottom>
    </border>
    <border>
      <left style="thin">
        <color rgb="00CCCCCC"/>
      </left>
      <right style="thin">
        <color rgb="00CCCCCC"/>
      </right>
      <top style="thin">
        <color rgb="00CCCCCC"/>
      </top>
      <bottom style="thin">
        <color rgb="00CCCCCC"/>
      </bottom>
    </border>
    <border>
      <left style="thin">
        <color rgb="00EEEEEE"/>
      </left>
      <right style="thin">
        <color rgb="00EEEEEE"/>
      </right>
      <top style="thin">
        <color rgb="00EEEEEE"/>
      </top>
      <bottom style="thin">
        <color rgb="00EEEEEE"/>
      </bottom>
    </border>
    <border>
      <left style="medium">
        <color rgb="00C0392B"/>
      </left>
      <right style="medium">
        <color rgb="00C0392B"/>
      </right>
      <top style="medium">
        <color rgb="00C0392B"/>
      </top>
      <bottom style="medium">
        <color rgb="00C0392B"/>
      </bottom>
    </border>
    <border>
      <left style="medium">
        <color rgb="002E86C1"/>
      </left>
      <right style="medium">
        <color rgb="002E86C1"/>
      </right>
      <top style="medium">
        <color rgb="002E86C1"/>
      </top>
      <bottom style="medium">
        <color rgb="002E86C1"/>
      </bottom>
    </border>
    <border>
      <left style="medium">
        <color rgb="001E8449"/>
      </left>
      <right style="medium">
        <color rgb="001E8449"/>
      </right>
      <top style="medium">
        <color rgb="001E8449"/>
      </top>
      <bottom style="medium">
        <color rgb="001E8449"/>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12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left" vertical="center"/>
    </xf>
    <xf numFmtId="0" fontId="4" fillId="2" borderId="2" applyAlignment="1" pivotButton="0" quotePrefix="0" xfId="0">
      <alignment horizontal="center" vertical="center" wrapText="1"/>
    </xf>
    <xf numFmtId="0" fontId="5"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7" fillId="4" borderId="3" applyAlignment="1" pivotButton="0" quotePrefix="0" xfId="0">
      <alignment horizontal="center" vertical="center" wrapText="1"/>
    </xf>
    <xf numFmtId="0" fontId="5" fillId="4" borderId="3" applyAlignment="1" pivotButton="0" quotePrefix="0" xfId="0">
      <alignment horizontal="left" vertical="center" wrapText="1"/>
    </xf>
    <xf numFmtId="0" fontId="8" fillId="4" borderId="3" applyAlignment="1" pivotButton="0" quotePrefix="0" xfId="0">
      <alignment horizontal="left" vertical="center" wrapText="1"/>
    </xf>
    <xf numFmtId="0" fontId="9" fillId="4" borderId="3" applyAlignment="1" pivotButton="0" quotePrefix="0" xfId="0">
      <alignment horizontal="left" vertical="center" wrapText="1"/>
    </xf>
    <xf numFmtId="0" fontId="5" fillId="5" borderId="3" applyAlignment="1" pivotButton="0" quotePrefix="0" xfId="0">
      <alignment horizontal="center" vertical="center" wrapText="1"/>
    </xf>
    <xf numFmtId="0" fontId="6"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5" fillId="5" borderId="3" applyAlignment="1" pivotButton="0" quotePrefix="0" xfId="0">
      <alignment horizontal="left" vertical="center" wrapText="1"/>
    </xf>
    <xf numFmtId="0" fontId="8" fillId="5" borderId="3" applyAlignment="1" pivotButton="0" quotePrefix="0" xfId="0">
      <alignment horizontal="left" vertical="center" wrapText="1"/>
    </xf>
    <xf numFmtId="0" fontId="9" fillId="5" borderId="3" applyAlignment="1" pivotButton="0" quotePrefix="0" xfId="0">
      <alignment horizontal="left" vertical="center" wrapText="1"/>
    </xf>
    <xf numFmtId="0" fontId="3" fillId="6" borderId="1" applyAlignment="1" pivotButton="0" quotePrefix="0" xfId="0">
      <alignment horizontal="left" vertical="center"/>
    </xf>
    <xf numFmtId="0" fontId="5" fillId="7" borderId="3" applyAlignment="1" pivotButton="0" quotePrefix="0" xfId="0">
      <alignment horizontal="center" vertical="center" wrapText="1"/>
    </xf>
    <xf numFmtId="0" fontId="6" fillId="7" borderId="3" applyAlignment="1" pivotButton="0" quotePrefix="0" xfId="0">
      <alignment horizontal="center" vertical="center" wrapText="1"/>
    </xf>
    <xf numFmtId="0" fontId="7" fillId="7" borderId="3" applyAlignment="1" pivotButton="0" quotePrefix="0" xfId="0">
      <alignment horizontal="center" vertical="center" wrapText="1"/>
    </xf>
    <xf numFmtId="0" fontId="5" fillId="7" borderId="3" applyAlignment="1" pivotButton="0" quotePrefix="0" xfId="0">
      <alignment horizontal="left" vertical="center" wrapText="1"/>
    </xf>
    <xf numFmtId="0" fontId="10" fillId="7" borderId="3" applyAlignment="1" pivotButton="0" quotePrefix="0" xfId="0">
      <alignment horizontal="left" vertical="center" wrapText="1"/>
    </xf>
    <xf numFmtId="0" fontId="11" fillId="7" borderId="3" applyAlignment="1" pivotButton="0" quotePrefix="0" xfId="0">
      <alignment horizontal="left" vertical="center" wrapText="1"/>
    </xf>
    <xf numFmtId="0" fontId="3" fillId="2" borderId="1" applyAlignment="1" pivotButton="0" quotePrefix="0" xfId="0">
      <alignment horizontal="left" vertical="center"/>
    </xf>
    <xf numFmtId="0" fontId="12" fillId="4" borderId="3" applyAlignment="1" pivotButton="0" quotePrefix="0" xfId="0">
      <alignment horizontal="left" vertical="center"/>
    </xf>
    <xf numFmtId="0" fontId="13" fillId="4" borderId="3" applyAlignment="1" pivotButton="0" quotePrefix="0" xfId="0">
      <alignment horizontal="center" vertical="center"/>
    </xf>
    <xf numFmtId="0" fontId="4" fillId="2" borderId="3" applyAlignment="1" pivotButton="0" quotePrefix="0" xfId="0">
      <alignment horizontal="left" vertical="center"/>
    </xf>
    <xf numFmtId="0" fontId="4" fillId="2" borderId="3" applyAlignment="1" pivotButton="0" quotePrefix="0" xfId="0">
      <alignment horizontal="center" vertical="center"/>
    </xf>
    <xf numFmtId="0" fontId="14" fillId="7" borderId="3" applyAlignment="1" pivotButton="0" quotePrefix="0" xfId="0">
      <alignment horizontal="center" vertical="center" wrapText="1"/>
    </xf>
    <xf numFmtId="0" fontId="14" fillId="7" borderId="3" applyAlignment="1" pivotButton="0" quotePrefix="0" xfId="0">
      <alignment horizontal="left" vertical="center" wrapText="1"/>
    </xf>
    <xf numFmtId="0" fontId="3" fillId="2" borderId="0" applyAlignment="1" pivotButton="0" quotePrefix="0" xfId="0">
      <alignment horizontal="left" vertical="center"/>
    </xf>
    <xf numFmtId="0" fontId="5" fillId="5" borderId="3" applyAlignment="1" pivotButton="0" quotePrefix="0" xfId="0">
      <alignment horizontal="left" vertical="center"/>
    </xf>
    <xf numFmtId="0" fontId="0" fillId="3" borderId="4" pivotButton="0" quotePrefix="0" xfId="0"/>
    <xf numFmtId="0" fontId="0" fillId="5" borderId="4" pivotButton="0" quotePrefix="0" xfId="0"/>
    <xf numFmtId="0" fontId="0" fillId="4" borderId="4" pivotButton="0" quotePrefix="0" xfId="0"/>
    <xf numFmtId="0" fontId="5" fillId="4" borderId="3" applyAlignment="1" pivotButton="0" quotePrefix="0" xfId="0">
      <alignment horizontal="left" vertical="center"/>
    </xf>
    <xf numFmtId="0" fontId="14" fillId="7" borderId="3" applyAlignment="1" pivotButton="0" quotePrefix="0" xfId="0">
      <alignment horizontal="left" vertical="center"/>
    </xf>
    <xf numFmtId="0" fontId="0" fillId="6" borderId="4" pivotButton="0" quotePrefix="0" xfId="0"/>
    <xf numFmtId="0" fontId="15" fillId="8" borderId="3" applyAlignment="1" pivotButton="0" quotePrefix="0" xfId="0">
      <alignment horizontal="left" vertical="center"/>
    </xf>
    <xf numFmtId="0" fontId="15" fillId="8" borderId="3" applyAlignment="1" pivotButton="0" quotePrefix="0" xfId="0">
      <alignment horizontal="left" vertical="center" wrapText="1"/>
    </xf>
    <xf numFmtId="0" fontId="0" fillId="9" borderId="4" pivotButton="0" quotePrefix="0" xfId="0"/>
    <xf numFmtId="0" fontId="3" fillId="3" borderId="0" applyAlignment="1" pivotButton="0" quotePrefix="0" xfId="0">
      <alignment horizontal="left" vertical="center"/>
    </xf>
    <xf numFmtId="0" fontId="3" fillId="6" borderId="0" applyAlignment="1" pivotButton="0" quotePrefix="0" xfId="0">
      <alignment horizontal="left" vertical="center"/>
    </xf>
    <xf numFmtId="0" fontId="16" fillId="2" borderId="0" applyAlignment="1" pivotButton="0" quotePrefix="0" xfId="0">
      <alignment horizontal="center" vertical="center"/>
    </xf>
    <xf numFmtId="0" fontId="17" fillId="0" borderId="0" applyAlignment="1" pivotButton="0" quotePrefix="0" xfId="0">
      <alignment horizontal="center" vertical="center"/>
    </xf>
    <xf numFmtId="0" fontId="4" fillId="2" borderId="2" applyAlignment="1" pivotButton="0" quotePrefix="0" xfId="0">
      <alignment horizontal="left" vertical="center"/>
    </xf>
    <xf numFmtId="0" fontId="18" fillId="4" borderId="3" applyAlignment="1" pivotButton="0" quotePrefix="0" xfId="0">
      <alignment horizontal="left" vertical="center"/>
    </xf>
    <xf numFmtId="164" fontId="13" fillId="4" borderId="3" applyAlignment="1" pivotButton="0" quotePrefix="0" xfId="0">
      <alignment horizontal="center" vertical="center"/>
    </xf>
    <xf numFmtId="164" fontId="12" fillId="0" borderId="3" applyAlignment="1" pivotButton="0" quotePrefix="0" xfId="0">
      <alignment horizontal="center" vertical="center"/>
    </xf>
    <xf numFmtId="0" fontId="18" fillId="5" borderId="3" applyAlignment="1" pivotButton="0" quotePrefix="0" xfId="0">
      <alignment horizontal="left" vertical="center"/>
    </xf>
    <xf numFmtId="164" fontId="13" fillId="5" borderId="3" applyAlignment="1" pivotButton="0" quotePrefix="0" xfId="0">
      <alignment horizontal="center" vertical="center"/>
    </xf>
    <xf numFmtId="164" fontId="4" fillId="2" borderId="2" applyAlignment="1" pivotButton="0" quotePrefix="0" xfId="0">
      <alignment horizontal="center" vertical="center"/>
    </xf>
    <xf numFmtId="0" fontId="19" fillId="7" borderId="3" applyAlignment="1" pivotButton="0" quotePrefix="0" xfId="0">
      <alignment horizontal="left" vertical="center"/>
    </xf>
    <xf numFmtId="1" fontId="19" fillId="7" borderId="3" applyAlignment="1" pivotButton="0" quotePrefix="0" xfId="0">
      <alignment horizontal="center" vertical="center"/>
    </xf>
    <xf numFmtId="0" fontId="0" fillId="7" borderId="0" pivotButton="0" quotePrefix="0" xfId="0"/>
    <xf numFmtId="164" fontId="12" fillId="4" borderId="3" applyAlignment="1" pivotButton="0" quotePrefix="0" xfId="0">
      <alignment horizontal="center" vertical="center"/>
    </xf>
    <xf numFmtId="164" fontId="12" fillId="5" borderId="3" applyAlignment="1" pivotButton="0" quotePrefix="0" xfId="0">
      <alignment horizontal="center" vertical="center"/>
    </xf>
    <xf numFmtId="0" fontId="4" fillId="9" borderId="2" applyAlignment="1" pivotButton="0" quotePrefix="0" xfId="0">
      <alignment horizontal="left" vertical="center"/>
    </xf>
    <xf numFmtId="164" fontId="13" fillId="7" borderId="3" applyAlignment="1" pivotButton="0" quotePrefix="0" xfId="0">
      <alignment horizontal="center" vertical="center"/>
    </xf>
    <xf numFmtId="0" fontId="0" fillId="7" borderId="3" applyAlignment="1" pivotButton="0" quotePrefix="0" xfId="0">
      <alignment horizontal="center" vertical="center"/>
    </xf>
    <xf numFmtId="0" fontId="12" fillId="8" borderId="3" applyAlignment="1" pivotButton="0" quotePrefix="0" xfId="0">
      <alignment horizontal="left" vertical="center"/>
    </xf>
    <xf numFmtId="164" fontId="12" fillId="8" borderId="3" applyAlignment="1" pivotButton="0" quotePrefix="0" xfId="0">
      <alignment horizontal="center" vertical="center"/>
    </xf>
    <xf numFmtId="164" fontId="13" fillId="8" borderId="3" applyAlignment="1" pivotButton="0" quotePrefix="0" xfId="0">
      <alignment horizontal="center" vertical="center"/>
    </xf>
    <xf numFmtId="164" fontId="4" fillId="2" borderId="3" applyAlignment="1" pivotButton="0" quotePrefix="0" xfId="0">
      <alignment horizontal="center" vertical="center"/>
    </xf>
    <xf numFmtId="0" fontId="20" fillId="8" borderId="3" applyAlignment="1" pivotButton="0" quotePrefix="0" xfId="0">
      <alignment horizontal="left" vertical="center"/>
    </xf>
    <xf numFmtId="164" fontId="21" fillId="8" borderId="3" applyAlignment="1" pivotButton="0" quotePrefix="0" xfId="0">
      <alignment horizontal="center" vertical="center"/>
    </xf>
    <xf numFmtId="0" fontId="20" fillId="10" borderId="3" applyAlignment="1" pivotButton="0" quotePrefix="0" xfId="0">
      <alignment horizontal="left" vertical="center"/>
    </xf>
    <xf numFmtId="164" fontId="22" fillId="10" borderId="3" applyAlignment="1" pivotButton="0" quotePrefix="0" xfId="0">
      <alignment horizontal="center" vertical="center"/>
    </xf>
    <xf numFmtId="0" fontId="20" fillId="11" borderId="3" applyAlignment="1" pivotButton="0" quotePrefix="0" xfId="0">
      <alignment horizontal="left" vertical="center"/>
    </xf>
    <xf numFmtId="164" fontId="23" fillId="11" borderId="3" applyAlignment="1" pivotButton="0" quotePrefix="0" xfId="0">
      <alignment horizontal="center" vertical="center"/>
    </xf>
    <xf numFmtId="164" fontId="24" fillId="11" borderId="3" applyAlignment="1" pivotButton="0" quotePrefix="0" xfId="0">
      <alignment horizontal="center" vertical="center"/>
    </xf>
    <xf numFmtId="0" fontId="20" fillId="5" borderId="3" applyAlignment="1" pivotButton="0" quotePrefix="0" xfId="0">
      <alignment horizontal="left" vertical="center"/>
    </xf>
    <xf numFmtId="165" fontId="25" fillId="5" borderId="3" applyAlignment="1" pivotButton="0" quotePrefix="0" xfId="0">
      <alignment horizontal="center" vertical="center"/>
    </xf>
    <xf numFmtId="0" fontId="23" fillId="11" borderId="3" applyAlignment="1" pivotButton="0" quotePrefix="0" xfId="0">
      <alignment horizontal="left" vertical="center"/>
    </xf>
    <xf numFmtId="0" fontId="26" fillId="11" borderId="3" applyAlignment="1" pivotButton="0" quotePrefix="0" xfId="0">
      <alignment horizontal="center" vertical="center"/>
    </xf>
    <xf numFmtId="0" fontId="23" fillId="11" borderId="3" applyAlignment="1" pivotButton="0" quotePrefix="0" xfId="0">
      <alignment horizontal="center" vertical="center"/>
    </xf>
    <xf numFmtId="0" fontId="24" fillId="4" borderId="3" applyAlignment="1" pivotButton="0" quotePrefix="0" xfId="0">
      <alignment horizontal="left" vertical="center"/>
    </xf>
    <xf numFmtId="0" fontId="27" fillId="4" borderId="3" applyAlignment="1" pivotButton="0" quotePrefix="0" xfId="0">
      <alignment horizontal="center" vertical="center"/>
    </xf>
    <xf numFmtId="0" fontId="24" fillId="4" borderId="3" applyAlignment="1" pivotButton="0" quotePrefix="0" xfId="0">
      <alignment horizontal="center" vertical="center"/>
    </xf>
    <xf numFmtId="0" fontId="28" fillId="7" borderId="3" applyAlignment="1" pivotButton="0" quotePrefix="0" xfId="0">
      <alignment horizontal="left" vertical="center"/>
    </xf>
    <xf numFmtId="0" fontId="29" fillId="7" borderId="3" applyAlignment="1" pivotButton="0" quotePrefix="0" xfId="0">
      <alignment horizontal="center" vertical="center"/>
    </xf>
    <xf numFmtId="0" fontId="28" fillId="7" borderId="3" applyAlignment="1" pivotButton="0" quotePrefix="0" xfId="0">
      <alignment horizontal="center" vertical="center"/>
    </xf>
    <xf numFmtId="0" fontId="21" fillId="8" borderId="3" applyAlignment="1" pivotButton="0" quotePrefix="0" xfId="0">
      <alignment horizontal="left" vertical="center"/>
    </xf>
    <xf numFmtId="0" fontId="30" fillId="8" borderId="3" applyAlignment="1" pivotButton="0" quotePrefix="0" xfId="0">
      <alignment horizontal="center" vertical="center"/>
    </xf>
    <xf numFmtId="0" fontId="31" fillId="5" borderId="3" applyAlignment="1" pivotButton="0" quotePrefix="0" xfId="0">
      <alignment horizontal="center" vertical="center"/>
    </xf>
    <xf numFmtId="0" fontId="21" fillId="8" borderId="3" applyAlignment="1" pivotButton="0" quotePrefix="0" xfId="0">
      <alignment horizontal="center" vertical="center"/>
    </xf>
    <xf numFmtId="0" fontId="23" fillId="4" borderId="3" applyAlignment="1" pivotButton="0" quotePrefix="0" xfId="0">
      <alignment horizontal="left" vertical="center"/>
    </xf>
    <xf numFmtId="0" fontId="26" fillId="4" borderId="3" applyAlignment="1" pivotButton="0" quotePrefix="0" xfId="0">
      <alignment horizontal="center" vertical="center"/>
    </xf>
    <xf numFmtId="0" fontId="23" fillId="4" borderId="3" applyAlignment="1" pivotButton="0" quotePrefix="0" xfId="0">
      <alignment horizontal="center" vertical="center"/>
    </xf>
    <xf numFmtId="0" fontId="11" fillId="4" borderId="3" applyAlignment="1" pivotButton="0" quotePrefix="0" xfId="0">
      <alignment horizontal="left" vertical="center" wrapText="1"/>
    </xf>
    <xf numFmtId="0" fontId="11" fillId="5" borderId="3" applyAlignment="1" pivotButton="0" quotePrefix="0" xfId="0">
      <alignment horizontal="left" vertical="center" wrapText="1"/>
    </xf>
    <xf numFmtId="0" fontId="10" fillId="10" borderId="3" applyAlignment="1" pivotButton="0" quotePrefix="0" xfId="0">
      <alignment horizontal="left" vertical="center" wrapText="1"/>
    </xf>
    <xf numFmtId="0" fontId="32" fillId="12" borderId="5" applyAlignment="1" pivotButton="0" quotePrefix="0" xfId="0">
      <alignment horizontal="left" vertical="center"/>
    </xf>
    <xf numFmtId="0" fontId="33" fillId="10" borderId="3" applyAlignment="1" pivotButton="0" quotePrefix="0" xfId="0">
      <alignment horizontal="left" vertical="center"/>
    </xf>
    <xf numFmtId="0" fontId="19" fillId="10" borderId="3" applyAlignment="1" pivotButton="0" quotePrefix="0" xfId="0">
      <alignment horizontal="left" vertical="center"/>
    </xf>
    <xf numFmtId="1" fontId="13" fillId="10" borderId="3" applyAlignment="1" pivotButton="0" quotePrefix="0" xfId="0">
      <alignment horizontal="center" vertical="center"/>
    </xf>
    <xf numFmtId="0" fontId="0" fillId="10" borderId="0" pivotButton="0" quotePrefix="0" xfId="0"/>
    <xf numFmtId="164" fontId="13" fillId="10" borderId="3" applyAlignment="1" pivotButton="0" quotePrefix="0" xfId="0">
      <alignment horizontal="center" vertical="center"/>
    </xf>
    <xf numFmtId="166" fontId="13" fillId="10" borderId="3" applyAlignment="1" pivotButton="0" quotePrefix="0" xfId="0">
      <alignment horizontal="center" vertical="center"/>
    </xf>
    <xf numFmtId="0" fontId="20" fillId="4" borderId="3" applyAlignment="1" pivotButton="0" quotePrefix="0" xfId="0">
      <alignment horizontal="left" vertical="center"/>
    </xf>
    <xf numFmtId="164" fontId="22" fillId="4" borderId="3" applyAlignment="1" pivotButton="0" quotePrefix="0" xfId="0">
      <alignment horizontal="center" vertical="center"/>
    </xf>
    <xf numFmtId="164" fontId="21" fillId="11" borderId="3" applyAlignment="1" pivotButton="0" quotePrefix="0" xfId="0">
      <alignment horizontal="center" vertical="center"/>
    </xf>
    <xf numFmtId="0" fontId="32" fillId="3" borderId="6" applyAlignment="1" pivotButton="0" quotePrefix="0" xfId="0">
      <alignment horizontal="left" vertical="center"/>
    </xf>
    <xf numFmtId="0" fontId="34" fillId="11" borderId="3" applyAlignment="1" pivotButton="0" quotePrefix="0" xfId="0">
      <alignment horizontal="left" vertical="center"/>
    </xf>
    <xf numFmtId="0" fontId="19" fillId="11" borderId="3" applyAlignment="1" pivotButton="0" quotePrefix="0" xfId="0">
      <alignment horizontal="left" vertical="center"/>
    </xf>
    <xf numFmtId="1" fontId="13" fillId="11" borderId="3" applyAlignment="1" pivotButton="0" quotePrefix="0" xfId="0">
      <alignment horizontal="center" vertical="center"/>
    </xf>
    <xf numFmtId="0" fontId="0" fillId="11" borderId="0" pivotButton="0" quotePrefix="0" xfId="0"/>
    <xf numFmtId="164" fontId="13" fillId="11" borderId="3" applyAlignment="1" pivotButton="0" quotePrefix="0" xfId="0">
      <alignment horizontal="center" vertical="center"/>
    </xf>
    <xf numFmtId="166" fontId="13" fillId="11" borderId="3" applyAlignment="1" pivotButton="0" quotePrefix="0" xfId="0">
      <alignment horizontal="center" vertical="center"/>
    </xf>
    <xf numFmtId="0" fontId="32" fillId="9" borderId="7" applyAlignment="1" pivotButton="0" quotePrefix="0" xfId="0">
      <alignment horizontal="left" vertical="center"/>
    </xf>
    <xf numFmtId="0" fontId="35" fillId="8" borderId="3" applyAlignment="1" pivotButton="0" quotePrefix="0" xfId="0">
      <alignment horizontal="left" vertical="center"/>
    </xf>
    <xf numFmtId="0" fontId="19" fillId="8" borderId="3" applyAlignment="1" pivotButton="0" quotePrefix="0" xfId="0">
      <alignment horizontal="left" vertical="center"/>
    </xf>
    <xf numFmtId="1" fontId="13" fillId="8" borderId="3" applyAlignment="1" pivotButton="0" quotePrefix="0" xfId="0">
      <alignment horizontal="center" vertical="center"/>
    </xf>
    <xf numFmtId="0" fontId="0" fillId="8" borderId="0" pivotButton="0" quotePrefix="0" xfId="0"/>
    <xf numFmtId="166" fontId="13" fillId="8" borderId="3" applyAlignment="1" pivotButton="0" quotePrefix="0" xfId="0">
      <alignment horizontal="center" vertical="center"/>
    </xf>
    <xf numFmtId="0" fontId="0" fillId="0" borderId="10" pivotButton="0" quotePrefix="0" xfId="0"/>
    <xf numFmtId="0" fontId="0" fillId="0" borderId="11" pivotButton="0" quotePrefix="0" xfId="0"/>
    <xf numFmtId="0" fontId="25" fillId="4" borderId="3" applyAlignment="1" pivotButton="0" quotePrefix="0" xfId="0">
      <alignment horizontal="left" vertical="center"/>
    </xf>
    <xf numFmtId="0" fontId="36" fillId="4" borderId="3" applyAlignment="1" pivotButton="0" quotePrefix="0" xfId="0">
      <alignment horizontal="center" vertical="center"/>
    </xf>
    <xf numFmtId="0" fontId="30" fillId="4" borderId="3" applyAlignment="1" pivotButton="0" quotePrefix="0" xfId="0">
      <alignment horizontal="center" vertical="center"/>
    </xf>
    <xf numFmtId="0" fontId="37" fillId="11" borderId="3" applyAlignment="1" pivotButton="0" quotePrefix="0" xfId="0">
      <alignment horizontal="left" vertical="center"/>
    </xf>
    <xf numFmtId="0" fontId="25" fillId="5" borderId="3" applyAlignment="1" pivotButton="0" quotePrefix="0" xfId="0">
      <alignment horizontal="left" vertical="center"/>
    </xf>
    <xf numFmtId="0" fontId="36" fillId="5" borderId="3" applyAlignment="1" pivotButton="0" quotePrefix="0" xfId="0">
      <alignment horizontal="center" vertical="center"/>
    </xf>
    <xf numFmtId="0" fontId="27" fillId="5" borderId="3" applyAlignment="1" pivotButton="0" quotePrefix="0" xfId="0">
      <alignment horizontal="center" vertical="center"/>
    </xf>
    <xf numFmtId="0" fontId="30" fillId="5" borderId="3" applyAlignment="1" pivotButton="0" quotePrefix="0" xfId="0">
      <alignment horizontal="center" vertical="center"/>
    </xf>
    <xf numFmtId="0" fontId="37" fillId="5" borderId="3"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86C1"/>
    <outlinePr summaryBelow="1" summaryRight="1"/>
    <pageSetUpPr/>
  </sheetPr>
  <dimension ref="A1:G48"/>
  <sheetViews>
    <sheetView workbookViewId="0">
      <selection activeCell="A1" sqref="A1"/>
    </sheetView>
  </sheetViews>
  <sheetFormatPr baseColWidth="8" defaultRowHeight="15"/>
  <cols>
    <col width="4" customWidth="1" min="1" max="1"/>
    <col width="18" customWidth="1" min="2" max="2"/>
    <col width="16" customWidth="1" min="3" max="3"/>
    <col width="14" customWidth="1" min="4" max="4"/>
    <col width="36" customWidth="1" min="5" max="5"/>
    <col width="30" customWidth="1" min="6" max="6"/>
    <col width="30" customWidth="1" min="7" max="7"/>
  </cols>
  <sheetData>
    <row r="1" ht="30" customHeight="1">
      <c r="A1" s="1" t="inlineStr">
        <is>
          <t>LEADFLOW AI V2 — TOOL STACK &amp; ARCHITECTURE (Polsia-Augmented)</t>
        </is>
      </c>
    </row>
    <row r="2" ht="20" customHeight="1">
      <c r="A2" s="2" t="inlineStr">
        <is>
          <t>De Villiers (Lead) | Marinus (Collaborator) | JigsawAI Initiative | V2: Outcome-Based Positioning</t>
        </is>
      </c>
    </row>
    <row r="4">
      <c r="A4" s="3" t="inlineStr">
        <is>
          <t>A. COMPLETE TOOL STACK — All accounts independently owned and controlled</t>
        </is>
      </c>
    </row>
    <row r="5">
      <c r="A5" s="4" t="inlineStr">
        <is>
          <t>#</t>
        </is>
      </c>
      <c r="B5" s="4" t="inlineStr">
        <is>
          <t>Tool</t>
        </is>
      </c>
      <c r="C5" s="4" t="inlineStr">
        <is>
          <t>Category</t>
        </is>
      </c>
      <c r="D5" s="4" t="inlineStr">
        <is>
          <t>Monthly Cost</t>
        </is>
      </c>
      <c r="E5" s="4" t="inlineStr">
        <is>
          <t>What It Does</t>
        </is>
      </c>
      <c r="F5" s="4" t="inlineStr">
        <is>
          <t>Why Independent</t>
        </is>
      </c>
      <c r="G5" s="4" t="inlineStr">
        <is>
          <t>Polsia Interaction</t>
        </is>
      </c>
    </row>
    <row r="6">
      <c r="A6" s="3" t="inlineStr">
        <is>
          <t>CORE INFRASTRUCTURE — Owned by De Villiers, Zero Polsia Dependency</t>
        </is>
      </c>
    </row>
    <row r="7" ht="50" customHeight="1">
      <c r="A7" s="5" t="inlineStr">
        <is>
          <t>1</t>
        </is>
      </c>
      <c r="B7" s="6" t="inlineStr">
        <is>
          <t>Instantly.ai</t>
        </is>
      </c>
      <c r="C7" s="5" t="inlineStr">
        <is>
          <t>Email Sending</t>
        </is>
      </c>
      <c r="D7" s="7" t="inlineStr">
        <is>
          <t>$97-$176</t>
        </is>
      </c>
      <c r="E7" s="8" t="inlineStr">
        <is>
          <t>High-volume cold email with automated warmup, rotation across mailboxes, deliverability monitoring, bounce management. 500-2,000 emails/day.</t>
        </is>
      </c>
      <c r="F7" s="9" t="inlineStr">
        <is>
          <t>YOUR account = YOUR sending reputation. Polsia outage = emails still send.</t>
        </is>
      </c>
      <c r="G7" s="10" t="inlineStr">
        <is>
          <t>Polsia drafts sequences → De Villiers approves → loaded into Instantly.</t>
        </is>
      </c>
    </row>
    <row r="8" ht="50" customHeight="1">
      <c r="A8" s="11" t="inlineStr">
        <is>
          <t>2</t>
        </is>
      </c>
      <c r="B8" s="12" t="inlineStr">
        <is>
          <t>Apollo.io</t>
        </is>
      </c>
      <c r="C8" s="11" t="inlineStr">
        <is>
          <t>Data Enrichment</t>
        </is>
      </c>
      <c r="D8" s="13" t="inlineStr">
        <is>
          <t>$99 (Pro)</t>
        </is>
      </c>
      <c r="E8" s="14" t="inlineStr">
        <is>
          <t>275M+ contacts, verified emails, job titles, company data, intent signals. Builds targeted prospect lists per ICP.</t>
        </is>
      </c>
      <c r="F8" s="15" t="inlineStr">
        <is>
          <t>YOUR data = YOUR prospect lists. Export all enriched data. No platform lock-in.</t>
        </is>
      </c>
      <c r="G8" s="16" t="inlineStr">
        <is>
          <t>Polsia generates ICP criteria → De Villiers runs Apollo search → exports CSV.</t>
        </is>
      </c>
    </row>
    <row r="9" ht="50" customHeight="1">
      <c r="A9" s="5" t="inlineStr">
        <is>
          <t>3</t>
        </is>
      </c>
      <c r="B9" s="6" t="inlineStr">
        <is>
          <t>HubSpot CRM</t>
        </is>
      </c>
      <c r="C9" s="5" t="inlineStr">
        <is>
          <t>CRM &amp; Pipeline</t>
        </is>
      </c>
      <c r="D9" s="7" t="inlineStr">
        <is>
          <t>$0-$50</t>
        </is>
      </c>
      <c r="E9" s="8" t="inlineStr">
        <is>
          <t>Central system of record for all clients, pipeline, deal stages, contact history, reporting.</t>
        </is>
      </c>
      <c r="F9" s="9" t="inlineStr">
        <is>
          <t>YOUR CRM = YOUR client relationships. Independent of all execution tools.</t>
        </is>
      </c>
      <c r="G9" s="10" t="inlineStr">
        <is>
          <t>Manual sync: metrics from Instantly/LinkedIn into HubSpot weekly. Polsia generates summaries.</t>
        </is>
      </c>
    </row>
    <row r="10" ht="50" customHeight="1">
      <c r="A10" s="11" t="inlineStr">
        <is>
          <t>4</t>
        </is>
      </c>
      <c r="B10" s="12" t="inlineStr">
        <is>
          <t>Stripe (YOUR account)</t>
        </is>
      </c>
      <c r="C10" s="11" t="inlineStr">
        <is>
          <t>Billing</t>
        </is>
      </c>
      <c r="D10" s="13" t="inlineStr">
        <is>
          <t>2.9% + $0.30/tx</t>
        </is>
      </c>
      <c r="E10" s="14" t="inlineStr">
        <is>
          <t>YOUR OWN Stripe account for client billing. Recurring subscriptions, invoicing, payment tracking.</t>
        </is>
      </c>
      <c r="F10" s="15" t="inlineStr">
        <is>
          <t>YOUR billing = YOUR revenue. 0% Polsia revenue share. Full margin control.</t>
        </is>
      </c>
      <c r="G10" s="16" t="inlineStr">
        <is>
          <t>NO Polsia involvement in billing. Completely independent.</t>
        </is>
      </c>
    </row>
    <row r="11" ht="50" customHeight="1">
      <c r="A11" s="5" t="inlineStr">
        <is>
          <t>5</t>
        </is>
      </c>
      <c r="B11" s="6" t="inlineStr">
        <is>
          <t>Namecheap/Cloudflare</t>
        </is>
      </c>
      <c r="C11" s="5" t="inlineStr">
        <is>
          <t>Domains &amp; DNS</t>
        </is>
      </c>
      <c r="D11" s="7" t="inlineStr">
        <is>
          <t>$12-$15/domain</t>
        </is>
      </c>
      <c r="E11" s="8" t="inlineStr">
        <is>
          <t>Domain registration, DNS management for 8+ sending domains, main website, client subdomains.</t>
        </is>
      </c>
      <c r="F11" s="9" t="inlineStr">
        <is>
          <t>YOUR domains = YOUR infrastructure. Transferable, renewable, fully controlled.</t>
        </is>
      </c>
      <c r="G11" s="10" t="inlineStr">
        <is>
          <t>None. Fully independent.</t>
        </is>
      </c>
    </row>
    <row r="12" ht="50" customHeight="1">
      <c r="A12" s="11" t="inlineStr">
        <is>
          <t>6</t>
        </is>
      </c>
      <c r="B12" s="12" t="inlineStr">
        <is>
          <t>Carrd / Framer</t>
        </is>
      </c>
      <c r="C12" s="11" t="inlineStr">
        <is>
          <t>Website</t>
        </is>
      </c>
      <c r="D12" s="13" t="inlineStr">
        <is>
          <t>$0-$19/mo</t>
        </is>
      </c>
      <c r="E12" s="14" t="inlineStr">
        <is>
          <t>Landing page for LeadFlow AI with V2 guarantee messaging, pricing, case studies, lead capture.</t>
        </is>
      </c>
      <c r="F12" s="15" t="inlineStr">
        <is>
          <t>YOUR website = YOUR brand presence. Guarantee narrative owned by you.</t>
        </is>
      </c>
      <c r="G12" s="16" t="inlineStr">
        <is>
          <t>Polsia drafts copy → De Villiers approves → implemented independently.</t>
        </is>
      </c>
    </row>
    <row r="13">
      <c r="A13" s="17" t="inlineStr">
        <is>
          <t>AI EXECUTION LAYER — Polsia as Co-Pilot (NOT Infrastructure)</t>
        </is>
      </c>
    </row>
    <row r="14" ht="60" customHeight="1">
      <c r="A14" s="18" t="inlineStr">
        <is>
          <t>7</t>
        </is>
      </c>
      <c r="B14" s="19" t="inlineStr">
        <is>
          <t>Polsia</t>
        </is>
      </c>
      <c r="C14" s="18" t="inlineStr">
        <is>
          <t>AI Execution</t>
        </is>
      </c>
      <c r="D14" s="20" t="inlineStr">
        <is>
          <t>$49/mo</t>
        </is>
      </c>
      <c r="E14" s="21" t="inlineStr">
        <is>
          <t>Autonomous AI agent running nightly cycles. Drafts email sequences, ICP criteria, blog content, campaign analysis, optimisation suggestions.</t>
        </is>
      </c>
      <c r="F14" s="22" t="inlineStr">
        <is>
          <t>AI BRAIN, not infrastructure. All outputs reviewed by De Villiers before client deployment. Polsia disappears = lose convenience, not capability.</t>
        </is>
      </c>
      <c r="G14" s="23" t="inlineStr">
        <is>
          <t>CORE ROLE: Strategy &amp; content drafting. ALL output through De Villiers approval gate before touching any client prospect.</t>
        </is>
      </c>
    </row>
    <row r="15">
      <c r="A15" s="3" t="inlineStr">
        <is>
          <t>CHANNEL-SPECIFIC &amp; SUPPORT TOOLS</t>
        </is>
      </c>
    </row>
    <row r="16" ht="45" customHeight="1">
      <c r="A16" s="5" t="inlineStr">
        <is>
          <t>8</t>
        </is>
      </c>
      <c r="B16" s="6" t="inlineStr">
        <is>
          <t>Expandi / Dripify</t>
        </is>
      </c>
      <c r="C16" s="5" t="inlineStr">
        <is>
          <t>LinkedIn</t>
        </is>
      </c>
      <c r="D16" s="7" t="inlineStr">
        <is>
          <t>$99/mo</t>
        </is>
      </c>
      <c r="E16" s="8" t="inlineStr">
        <is>
          <t>Automated LinkedIn connection requests, messaging sequences, profile visits, content engagement. Cloud-based, 24/7.</t>
        </is>
      </c>
      <c r="F16" s="9" t="inlineStr">
        <is>
          <t>YOUR LinkedIn automation = YOUR network growth. Independent.</t>
        </is>
      </c>
      <c r="G16" s="10" t="inlineStr">
        <is>
          <t>Polsia drafts LinkedIn templates → De Villiers approves → loaded into Expandi.</t>
        </is>
      </c>
    </row>
    <row r="17" ht="45" customHeight="1">
      <c r="A17" s="11" t="inlineStr">
        <is>
          <t>9</t>
        </is>
      </c>
      <c r="B17" s="12" t="inlineStr">
        <is>
          <t>Meta / Google Ads</t>
        </is>
      </c>
      <c r="C17" s="11" t="inlineStr">
        <is>
          <t>Paid Advertising</t>
        </is>
      </c>
      <c r="D17" s="13" t="inlineStr">
        <is>
          <t>Variable</t>
        </is>
      </c>
      <c r="E17" s="14" t="inlineStr">
        <is>
          <t>Facebook, Instagram, Google advertising for client campaigns and LeadFlow client acquisition.</t>
        </is>
      </c>
      <c r="F17" s="15" t="inlineStr">
        <is>
          <t>YOUR ad accounts = YOUR audience data, pixel data, custom audiences.</t>
        </is>
      </c>
      <c r="G17" s="16" t="inlineStr">
        <is>
          <t>Polsia suggests targeting + copy → De Villiers creates/manages campaigns.</t>
        </is>
      </c>
    </row>
    <row r="18" ht="45" customHeight="1">
      <c r="A18" s="5" t="inlineStr">
        <is>
          <t>10</t>
        </is>
      </c>
      <c r="B18" s="6" t="inlineStr">
        <is>
          <t>Notion</t>
        </is>
      </c>
      <c r="C18" s="5" t="inlineStr">
        <is>
          <t>Knowledge Base</t>
        </is>
      </c>
      <c r="D18" s="7" t="inlineStr">
        <is>
          <t>$0</t>
        </is>
      </c>
      <c r="E18" s="8" t="inlineStr">
        <is>
          <t>Stores all vertical playbooks, email templates, ICP definitions, process docs, client SOPs. The real IP of the business.</t>
        </is>
      </c>
      <c r="F18" s="9" t="inlineStr">
        <is>
          <t>YOUR playbooks = YOUR intellectual property. Platform-independent.</t>
        </is>
      </c>
      <c r="G18" s="10" t="inlineStr">
        <is>
          <t>Polsia outputs stored here. Playbooks live in Notion, not inside Polsia.</t>
        </is>
      </c>
    </row>
    <row r="19" ht="45" customHeight="1">
      <c r="A19" s="11" t="inlineStr">
        <is>
          <t>11</t>
        </is>
      </c>
      <c r="B19" s="12" t="inlineStr">
        <is>
          <t>Calendly</t>
        </is>
      </c>
      <c r="C19" s="11" t="inlineStr">
        <is>
          <t>Scheduling</t>
        </is>
      </c>
      <c r="D19" s="13" t="inlineStr">
        <is>
          <t>$0 (Free)</t>
        </is>
      </c>
      <c r="E19" s="14" t="inlineStr">
        <is>
          <t>Booking link for discovery calls and client meetings. Embedded in email signatures, website, LinkedIn.</t>
        </is>
      </c>
      <c r="F19" s="15" t="inlineStr">
        <is>
          <t>YOUR calendar = YOUR pipeline. Direct booking without intermediary.</t>
        </is>
      </c>
      <c r="G19" s="16" t="inlineStr">
        <is>
          <t>De Villiers Calendly link included in approved outreach sequences.</t>
        </is>
      </c>
    </row>
    <row r="20" ht="45" customHeight="1">
      <c r="A20" s="5" t="inlineStr">
        <is>
          <t>12</t>
        </is>
      </c>
      <c r="B20" s="6" t="inlineStr">
        <is>
          <t>Google Analytics</t>
        </is>
      </c>
      <c r="C20" s="5" t="inlineStr">
        <is>
          <t>Web Analytics</t>
        </is>
      </c>
      <c r="D20" s="7" t="inlineStr">
        <is>
          <t>$0-$9/mo</t>
        </is>
      </c>
      <c r="E20" s="8" t="inlineStr">
        <is>
          <t>Website traffic, conversion tracking, source attribution.</t>
        </is>
      </c>
      <c r="F20" s="9" t="inlineStr">
        <is>
          <t>YOUR analytics = YOUR performance data.</t>
        </is>
      </c>
      <c r="G20" s="10" t="inlineStr">
        <is>
          <t>Polsia can read analytics to inform content strategy.</t>
        </is>
      </c>
    </row>
    <row r="21" ht="45" customHeight="1">
      <c r="A21" s="11" t="inlineStr">
        <is>
          <t>13</t>
        </is>
      </c>
      <c r="B21" s="12" t="inlineStr">
        <is>
          <t>Loom</t>
        </is>
      </c>
      <c r="C21" s="11" t="inlineStr">
        <is>
          <t>Video &amp; Comms</t>
        </is>
      </c>
      <c r="D21" s="13" t="inlineStr">
        <is>
          <t>$0 (Free)</t>
        </is>
      </c>
      <c r="E21" s="14" t="inlineStr">
        <is>
          <t>Screen recording for onboarding tutorials, campaign walkthroughs, prospect-facing video messages.</t>
        </is>
      </c>
      <c r="F21" s="15" t="inlineStr">
        <is>
          <t>Adds personal touch. Human differentiator vs pure-AI competitors.</t>
        </is>
      </c>
      <c r="G21" s="16" t="inlineStr">
        <is>
          <t>None. Human-only tool.</t>
        </is>
      </c>
    </row>
    <row r="23">
      <c r="A23" s="24" t="inlineStr">
        <is>
          <t>MONTHLY TOOL COST SUMMARY</t>
        </is>
      </c>
    </row>
    <row r="24">
      <c r="A24" s="25" t="inlineStr">
        <is>
          <t>Core infrastructure (Instantly + Apollo + HubSpot + domains)</t>
        </is>
      </c>
      <c r="G24" s="26" t="inlineStr">
        <is>
          <t>$260-$340/mo</t>
        </is>
      </c>
    </row>
    <row r="25">
      <c r="A25" s="25" t="inlineStr">
        <is>
          <t>AI execution (Polsia)</t>
        </is>
      </c>
      <c r="G25" s="26" t="inlineStr">
        <is>
          <t>$49/mo</t>
        </is>
      </c>
    </row>
    <row r="26">
      <c r="A26" s="25" t="inlineStr">
        <is>
          <t>Channel tools (Expandi + Calendly)</t>
        </is>
      </c>
      <c r="G26" s="26" t="inlineStr">
        <is>
          <t>$99/mo</t>
        </is>
      </c>
    </row>
    <row r="27">
      <c r="A27" s="25" t="inlineStr">
        <is>
          <t>Website + Analytics</t>
        </is>
      </c>
      <c r="G27" s="26" t="inlineStr">
        <is>
          <t>$0-$28/mo</t>
        </is>
      </c>
    </row>
    <row r="28">
      <c r="A28" s="27" t="inlineStr">
        <is>
          <t>TOTAL FIXED TOOL COSTS</t>
        </is>
      </c>
      <c r="G28" s="28" t="inlineStr">
        <is>
          <t>$408-$516/mo</t>
        </is>
      </c>
    </row>
    <row r="29">
      <c r="A29" s="25" t="inlineStr">
        <is>
          <t>Per-client variable (additional Instantly mailboxes)</t>
        </is>
      </c>
      <c r="G29" s="26" t="inlineStr">
        <is>
          <t>~$30-$50/client</t>
        </is>
      </c>
    </row>
    <row r="31">
      <c r="A31" s="24" t="inlineStr">
        <is>
          <t>B. PROCESS FLOWS — How Information Moves Between Tools (V2)</t>
        </is>
      </c>
    </row>
    <row r="32">
      <c r="A32" s="3" t="inlineStr">
        <is>
          <t>FLOW 1: NEW CLIENT ONBOARDING (V2 — Guarantee Tier Confirmed)</t>
        </is>
      </c>
    </row>
    <row r="33">
      <c r="A33" s="4" t="inlineStr">
        <is>
          <t>Step</t>
        </is>
      </c>
      <c r="B33" s="4" t="inlineStr">
        <is>
          <t>Activity</t>
        </is>
      </c>
      <c r="C33" s="4" t="inlineStr">
        <is>
          <t>From (Source)</t>
        </is>
      </c>
      <c r="D33" s="4" t="inlineStr">
        <is>
          <t>To (Destination)</t>
        </is>
      </c>
      <c r="E33" s="4" t="inlineStr">
        <is>
          <t>Detail</t>
        </is>
      </c>
      <c r="F33" s="4" t="inlineStr">
        <is>
          <t>Human Gate?</t>
        </is>
      </c>
      <c r="G33" s="4" t="inlineStr">
        <is>
          <t>De Villiers Action</t>
        </is>
      </c>
    </row>
    <row r="34" ht="40" customHeight="1">
      <c r="A34" s="5" t="inlineStr">
        <is>
          <t>Step 1</t>
        </is>
      </c>
      <c r="B34" s="8" t="inlineStr">
        <is>
          <t>Client signs contract + pays</t>
        </is>
      </c>
      <c r="C34" s="8" t="inlineStr">
        <is>
          <t>Stripe (YOUR account)</t>
        </is>
      </c>
      <c r="D34" s="8" t="inlineStr">
        <is>
          <t>Calendly</t>
        </is>
      </c>
      <c r="E34" s="8" t="inlineStr">
        <is>
          <t>Client completes payment via YOUR Stripe. Onboarding call booked via Calendly link.</t>
        </is>
      </c>
      <c r="F34" s="8" t="inlineStr">
        <is>
          <t>No</t>
        </is>
      </c>
      <c r="G34" s="8" t="inlineStr">
        <is>
          <t>Confirm payment, send welcome email.</t>
        </is>
      </c>
    </row>
    <row r="35" ht="40" customHeight="1">
      <c r="A35" s="11" t="inlineStr">
        <is>
          <t>Step 2</t>
        </is>
      </c>
      <c r="B35" s="14" t="inlineStr">
        <is>
          <t>ICP intake questionnaire</t>
        </is>
      </c>
      <c r="C35" s="14" t="inlineStr">
        <is>
          <t>Google Forms</t>
        </is>
      </c>
      <c r="D35" s="14" t="inlineStr">
        <is>
          <t>Notion</t>
        </is>
      </c>
      <c r="E35" s="14" t="inlineStr">
        <is>
          <t>Client completes ICP questionnaire. Responses stored in client Notion folder.</t>
        </is>
      </c>
      <c r="F35" s="14" t="inlineStr">
        <is>
          <t>No</t>
        </is>
      </c>
      <c r="G35" s="14" t="inlineStr">
        <is>
          <t>Share form link, review responses.</t>
        </is>
      </c>
    </row>
    <row r="36" ht="40" customHeight="1">
      <c r="A36" s="5" t="inlineStr">
        <is>
          <t>Step 3</t>
        </is>
      </c>
      <c r="B36" s="8" t="inlineStr">
        <is>
          <t>Polsia generates campaign strategy</t>
        </is>
      </c>
      <c r="C36" s="8" t="inlineStr">
        <is>
          <t>Notion (ICP data)</t>
        </is>
      </c>
      <c r="D36" s="8" t="inlineStr">
        <is>
          <t>Polsia</t>
        </is>
      </c>
      <c r="E36" s="8" t="inlineStr">
        <is>
          <t>Paste ICP data into Polsia. AI generates: target criteria, 5-touch sequences, LinkedIn msgs, ad angles.</t>
        </is>
      </c>
      <c r="F36" s="8" t="inlineStr">
        <is>
          <t>No</t>
        </is>
      </c>
      <c r="G36" s="8" t="inlineStr">
        <is>
          <t>Feed ICP data to Polsia.</t>
        </is>
      </c>
    </row>
    <row r="37" ht="40" customHeight="1">
      <c r="A37" s="29" t="inlineStr">
        <is>
          <t>Step 4</t>
        </is>
      </c>
      <c r="B37" s="30" t="inlineStr">
        <is>
          <t>HUMAN APPROVAL GATE</t>
        </is>
      </c>
      <c r="C37" s="30" t="inlineStr">
        <is>
          <t>Polsia output</t>
        </is>
      </c>
      <c r="D37" s="30" t="inlineStr">
        <is>
          <t>De Villiers review</t>
        </is>
      </c>
      <c r="E37" s="30" t="inlineStr">
        <is>
          <t>Review ALL Polsia output. Edit sequences for tone, accuracy, compliance, V2 guarantee alignment.</t>
        </is>
      </c>
      <c r="F37" s="30" t="inlineStr">
        <is>
          <t>YES</t>
        </is>
      </c>
      <c r="G37" s="30" t="inlineStr">
        <is>
          <t>Approve or revise. NOTHING touches client prospects without sign-off.</t>
        </is>
      </c>
    </row>
    <row r="38" ht="40" customHeight="1">
      <c r="A38" s="5" t="inlineStr">
        <is>
          <t>Step 5</t>
        </is>
      </c>
      <c r="B38" s="8" t="inlineStr">
        <is>
          <t>Build prospect list</t>
        </is>
      </c>
      <c r="C38" s="8" t="inlineStr">
        <is>
          <t>Apollo.io</t>
        </is>
      </c>
      <c r="D38" s="8" t="inlineStr">
        <is>
          <t>CSV export</t>
        </is>
      </c>
      <c r="E38" s="8" t="inlineStr">
        <is>
          <t>Using approved ICP criteria, run Apollo search. Export verified prospect list.</t>
        </is>
      </c>
      <c r="F38" s="8" t="inlineStr">
        <is>
          <t>No</t>
        </is>
      </c>
      <c r="G38" s="8" t="inlineStr">
        <is>
          <t>Run Apollo search, export, verify quality.</t>
        </is>
      </c>
    </row>
    <row r="39" ht="40" customHeight="1">
      <c r="A39" s="11" t="inlineStr">
        <is>
          <t>Step 6</t>
        </is>
      </c>
      <c r="B39" s="14" t="inlineStr">
        <is>
          <t>Load into sending tools</t>
        </is>
      </c>
      <c r="C39" s="14" t="inlineStr">
        <is>
          <t>Apollo CSV</t>
        </is>
      </c>
      <c r="D39" s="14" t="inlineStr">
        <is>
          <t>Instantly + Expandi</t>
        </is>
      </c>
      <c r="E39" s="14" t="inlineStr">
        <is>
          <t>Upload list to Instantly (email) and Expandi (LinkedIn). Load approved sequences. Set volume limits.</t>
        </is>
      </c>
      <c r="F39" s="14" t="inlineStr">
        <is>
          <t>No</t>
        </is>
      </c>
      <c r="G39" s="14" t="inlineStr">
        <is>
          <t>Configure campaigns, set sending schedule.</t>
        </is>
      </c>
    </row>
    <row r="40" ht="40" customHeight="1">
      <c r="A40" s="5" t="inlineStr">
        <is>
          <t>Step 7</t>
        </is>
      </c>
      <c r="B40" s="8" t="inlineStr">
        <is>
          <t>Campaign goes live</t>
        </is>
      </c>
      <c r="C40" s="8" t="inlineStr">
        <is>
          <t>Instantly + Expandi</t>
        </is>
      </c>
      <c r="D40" s="8" t="inlineStr">
        <is>
          <t>HubSpot</t>
        </is>
      </c>
      <c r="E40" s="8" t="inlineStr">
        <is>
          <t>Campaigns begin. Key metrics flow to HubSpot. Client notified of launch + guarantee terms confirmed.</t>
        </is>
      </c>
      <c r="F40" s="8" t="inlineStr">
        <is>
          <t>No</t>
        </is>
      </c>
      <c r="G40" s="8" t="inlineStr">
        <is>
          <t>Notify client, confirm guarantee tier.</t>
        </is>
      </c>
    </row>
    <row r="41">
      <c r="A41" s="3" t="inlineStr">
        <is>
          <t>FLOW 2: DAILY CAMPAIGN EXECUTION</t>
        </is>
      </c>
    </row>
    <row r="42">
      <c r="A42" s="4" t="inlineStr">
        <is>
          <t>Step</t>
        </is>
      </c>
      <c r="B42" s="4" t="inlineStr">
        <is>
          <t>Activity</t>
        </is>
      </c>
      <c r="C42" s="4" t="inlineStr">
        <is>
          <t>From (Source)</t>
        </is>
      </c>
      <c r="D42" s="4" t="inlineStr">
        <is>
          <t>To (Destination)</t>
        </is>
      </c>
      <c r="E42" s="4" t="inlineStr">
        <is>
          <t>Detail</t>
        </is>
      </c>
      <c r="F42" s="4" t="inlineStr">
        <is>
          <t>Human Gate?</t>
        </is>
      </c>
      <c r="G42" s="4" t="inlineStr">
        <is>
          <t>De Villiers Action</t>
        </is>
      </c>
    </row>
    <row r="43" ht="40" customHeight="1">
      <c r="A43" s="5" t="inlineStr">
        <is>
          <t>Step 1</t>
        </is>
      </c>
      <c r="B43" s="8" t="inlineStr">
        <is>
          <t>Instantly sends email batches</t>
        </is>
      </c>
      <c r="C43" s="8" t="inlineStr">
        <is>
          <t>Instantly</t>
        </is>
      </c>
      <c r="D43" s="8" t="inlineStr">
        <is>
          <t>Prospect inboxes</t>
        </is>
      </c>
      <c r="E43" s="8" t="inlineStr">
        <is>
          <t>Automated: 50-75 emails per mailbox/day. Warmup continues in background.</t>
        </is>
      </c>
      <c r="F43" s="8" t="inlineStr">
        <is>
          <t>No</t>
        </is>
      </c>
      <c r="G43" s="8" t="inlineStr">
        <is>
          <t>Monitor deliverability dashboard daily.</t>
        </is>
      </c>
    </row>
    <row r="44" ht="40" customHeight="1">
      <c r="A44" s="11" t="inlineStr">
        <is>
          <t>Step 2</t>
        </is>
      </c>
      <c r="B44" s="14" t="inlineStr">
        <is>
          <t>Expandi runs LinkedIn sequences</t>
        </is>
      </c>
      <c r="C44" s="14" t="inlineStr">
        <is>
          <t>Expandi</t>
        </is>
      </c>
      <c r="D44" s="14" t="inlineStr">
        <is>
          <t>LinkedIn</t>
        </is>
      </c>
      <c r="E44" s="14" t="inlineStr">
        <is>
          <t>Automated: connection requests, follow-up messages, profile visits per schedule.</t>
        </is>
      </c>
      <c r="F44" s="14" t="inlineStr">
        <is>
          <t>No</t>
        </is>
      </c>
      <c r="G44" s="14" t="inlineStr">
        <is>
          <t>Check acceptance rates weekly.</t>
        </is>
      </c>
    </row>
    <row r="45" ht="40" customHeight="1">
      <c r="A45" s="5" t="inlineStr">
        <is>
          <t>Step 3</t>
        </is>
      </c>
      <c r="B45" s="8" t="inlineStr">
        <is>
          <t>Replies flow into Instantly inbox</t>
        </is>
      </c>
      <c r="C45" s="8" t="inlineStr">
        <is>
          <t>Prospect replies</t>
        </is>
      </c>
      <c r="D45" s="8" t="inlineStr">
        <is>
          <t>Instantly</t>
        </is>
      </c>
      <c r="E45" s="8" t="inlineStr">
        <is>
          <t>Positive, negative, OOO replies captured in unified inbox.</t>
        </is>
      </c>
      <c r="F45" s="8" t="inlineStr">
        <is>
          <t>No</t>
        </is>
      </c>
      <c r="G45" s="8" t="inlineStr">
        <is>
          <t>Triage daily (or VA from Month 4).</t>
        </is>
      </c>
    </row>
    <row r="46" ht="40" customHeight="1">
      <c r="A46" s="29" t="inlineStr">
        <is>
          <t>Step 4</t>
        </is>
      </c>
      <c r="B46" s="30" t="inlineStr">
        <is>
          <t>HUMAN APPROVAL GATE — Positive replies</t>
        </is>
      </c>
      <c r="C46" s="30" t="inlineStr">
        <is>
          <t>Instantly inbox</t>
        </is>
      </c>
      <c r="D46" s="30" t="inlineStr">
        <is>
          <t>De Villiers</t>
        </is>
      </c>
      <c r="E46" s="30" t="inlineStr">
        <is>
          <t>Positive replies require human response. Polsia drafts reply; De Villiers personalises and sends.</t>
        </is>
      </c>
      <c r="F46" s="30" t="inlineStr">
        <is>
          <t>YES</t>
        </is>
      </c>
      <c r="G46" s="30" t="inlineStr">
        <is>
          <t>Personalise and send Polsia-drafted replies.</t>
        </is>
      </c>
    </row>
    <row r="47" ht="40" customHeight="1">
      <c r="A47" s="5" t="inlineStr">
        <is>
          <t>Step 5</t>
        </is>
      </c>
      <c r="B47" s="8" t="inlineStr">
        <is>
          <t>Polsia nightly analysis</t>
        </is>
      </c>
      <c r="C47" s="8" t="inlineStr">
        <is>
          <t>Campaign data</t>
        </is>
      </c>
      <c r="D47" s="8" t="inlineStr">
        <is>
          <t>Polsia</t>
        </is>
      </c>
      <c r="E47" s="8" t="inlineStr">
        <is>
          <t>AI evaluates open rates, reply rates, bounce rates. Flags underperformers. Suggests A/B tests.</t>
        </is>
      </c>
      <c r="F47" s="8" t="inlineStr">
        <is>
          <t>No</t>
        </is>
      </c>
      <c r="G47" s="8" t="inlineStr">
        <is>
          <t>Review Polsia analysis each morning.</t>
        </is>
      </c>
    </row>
    <row r="48" ht="40" customHeight="1">
      <c r="A48" s="29" t="inlineStr">
        <is>
          <t>Step 6</t>
        </is>
      </c>
      <c r="B48" s="30" t="inlineStr">
        <is>
          <t>HUMAN APPROVAL GATE — Optimisations</t>
        </is>
      </c>
      <c r="C48" s="30" t="inlineStr">
        <is>
          <t>Polsia suggestions</t>
        </is>
      </c>
      <c r="D48" s="30" t="inlineStr">
        <is>
          <t>De Villiers</t>
        </is>
      </c>
      <c r="E48" s="30" t="inlineStr">
        <is>
          <t>Review suggested changes. Implement approved changes in Instantly/Expandi. Reject unsuitable suggestions.</t>
        </is>
      </c>
      <c r="F48" s="30" t="inlineStr">
        <is>
          <t>YES</t>
        </is>
      </c>
      <c r="G48" s="30" t="inlineStr">
        <is>
          <t>Approve or reject each optimisation suggestion.</t>
        </is>
      </c>
    </row>
  </sheetData>
  <mergeCells count="16">
    <mergeCell ref="A24:F24"/>
    <mergeCell ref="A13:G13"/>
    <mergeCell ref="A32:G32"/>
    <mergeCell ref="A1:G1"/>
    <mergeCell ref="A28:F28"/>
    <mergeCell ref="A31:G31"/>
    <mergeCell ref="A6:G6"/>
    <mergeCell ref="A4:G4"/>
    <mergeCell ref="A27:F27"/>
    <mergeCell ref="A2:G2"/>
    <mergeCell ref="A15:G15"/>
    <mergeCell ref="A26:F26"/>
    <mergeCell ref="A41:G41"/>
    <mergeCell ref="A29:F29"/>
    <mergeCell ref="A25:F25"/>
    <mergeCell ref="A23:G23"/>
  </mergeCells>
  <pageMargins left="0.75" right="0.75" top="1" bottom="1" header="0.5" footer="0.5"/>
</worksheet>
</file>

<file path=xl/worksheets/sheet2.xml><?xml version="1.0" encoding="utf-8"?>
<worksheet xmlns="http://schemas.openxmlformats.org/spreadsheetml/2006/main">
  <sheetPr>
    <tabColor rgb="001B4F72"/>
    <outlinePr summaryBelow="1" summaryRight="1"/>
    <pageSetUpPr/>
  </sheetPr>
  <dimension ref="A1:BF68"/>
  <sheetViews>
    <sheetView workbookViewId="0">
      <selection activeCell="A1" sqref="A1"/>
    </sheetView>
  </sheetViews>
  <sheetFormatPr baseColWidth="8" defaultRowHeight="15"/>
  <cols>
    <col width="5" customWidth="1" min="1" max="1"/>
    <col width="42" customWidth="1" min="2" max="2"/>
    <col width="18" customWidth="1" min="3" max="3"/>
    <col width="12" customWidth="1" min="4" max="4"/>
    <col width="13" customWidth="1" min="5" max="5"/>
    <col width="14"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 width="3.2" customWidth="1" min="45" max="45"/>
    <col width="3.2" customWidth="1" min="46" max="46"/>
    <col width="3.2" customWidth="1" min="47" max="47"/>
    <col width="3.2" customWidth="1" min="48" max="48"/>
    <col width="3.2" customWidth="1" min="49" max="49"/>
    <col width="3.2" customWidth="1" min="50" max="50"/>
    <col width="3.2" customWidth="1" min="51" max="51"/>
    <col width="3.2" customWidth="1" min="52" max="52"/>
    <col width="3.2" customWidth="1" min="53" max="53"/>
    <col width="3.2" customWidth="1" min="54" max="54"/>
    <col width="3.2" customWidth="1" min="55" max="55"/>
    <col width="3.2" customWidth="1" min="56" max="56"/>
    <col width="3.2" customWidth="1" min="57" max="57"/>
    <col width="3.2" customWidth="1" min="58" max="58"/>
  </cols>
  <sheetData>
    <row r="1" ht="28" customHeight="1">
      <c r="A1" s="1" t="inlineStr">
        <is>
          <t>LEADFLOW AI V2 — 12-MONTH IMPLEMENTATION PLAN</t>
        </is>
      </c>
    </row>
    <row r="2">
      <c r="A2" s="2" t="inlineStr">
        <is>
          <t>De Villiers (Lead Owner) | Marinus (Strategy Collaborator) | JigsawAI Initiative | V2: Outcome-Based Positioning</t>
        </is>
      </c>
    </row>
    <row r="3">
      <c r="A3" s="4" t="inlineStr">
        <is>
          <t>#</t>
        </is>
      </c>
      <c r="B3" s="4" t="inlineStr">
        <is>
          <t>Task / Activity</t>
        </is>
      </c>
      <c r="C3" s="4" t="inlineStr">
        <is>
          <t>Owner</t>
        </is>
      </c>
      <c r="D3" s="4" t="inlineStr">
        <is>
          <t>Phase</t>
        </is>
      </c>
      <c r="E3" s="4" t="inlineStr">
        <is>
          <t>Status</t>
        </is>
      </c>
      <c r="F3" s="4" t="inlineStr">
        <is>
          <t>Notes</t>
        </is>
      </c>
      <c r="G3" s="4" t="inlineStr">
        <is>
          <t>W1</t>
        </is>
      </c>
      <c r="H3" s="4" t="inlineStr">
        <is>
          <t>W2</t>
        </is>
      </c>
      <c r="I3" s="4" t="inlineStr">
        <is>
          <t>W3</t>
        </is>
      </c>
      <c r="J3" s="4" t="inlineStr">
        <is>
          <t>W4</t>
        </is>
      </c>
      <c r="K3" s="4" t="inlineStr">
        <is>
          <t>W5</t>
        </is>
      </c>
      <c r="L3" s="4" t="inlineStr">
        <is>
          <t>W6</t>
        </is>
      </c>
      <c r="M3" s="4" t="inlineStr">
        <is>
          <t>W7</t>
        </is>
      </c>
      <c r="N3" s="4" t="inlineStr">
        <is>
          <t>W8</t>
        </is>
      </c>
      <c r="O3" s="4" t="inlineStr">
        <is>
          <t>W9</t>
        </is>
      </c>
      <c r="P3" s="4" t="inlineStr">
        <is>
          <t>W10</t>
        </is>
      </c>
      <c r="Q3" s="4" t="inlineStr">
        <is>
          <t>W11</t>
        </is>
      </c>
      <c r="R3" s="4" t="inlineStr">
        <is>
          <t>W12</t>
        </is>
      </c>
      <c r="S3" s="4" t="inlineStr">
        <is>
          <t>W13</t>
        </is>
      </c>
      <c r="T3" s="4" t="inlineStr">
        <is>
          <t>W14</t>
        </is>
      </c>
      <c r="U3" s="4" t="inlineStr">
        <is>
          <t>W15</t>
        </is>
      </c>
      <c r="V3" s="4" t="inlineStr">
        <is>
          <t>W16</t>
        </is>
      </c>
      <c r="W3" s="4" t="inlineStr">
        <is>
          <t>W17</t>
        </is>
      </c>
      <c r="X3" s="4" t="inlineStr">
        <is>
          <t>W18</t>
        </is>
      </c>
      <c r="Y3" s="4" t="inlineStr">
        <is>
          <t>W19</t>
        </is>
      </c>
      <c r="Z3" s="4" t="inlineStr">
        <is>
          <t>W20</t>
        </is>
      </c>
      <c r="AA3" s="4" t="inlineStr">
        <is>
          <t>W21</t>
        </is>
      </c>
      <c r="AB3" s="4" t="inlineStr">
        <is>
          <t>W22</t>
        </is>
      </c>
      <c r="AC3" s="4" t="inlineStr">
        <is>
          <t>W23</t>
        </is>
      </c>
      <c r="AD3" s="4" t="inlineStr">
        <is>
          <t>W24</t>
        </is>
      </c>
      <c r="AE3" s="4" t="inlineStr">
        <is>
          <t>W25</t>
        </is>
      </c>
      <c r="AF3" s="4" t="inlineStr">
        <is>
          <t>W26</t>
        </is>
      </c>
      <c r="AG3" s="4" t="inlineStr">
        <is>
          <t>W27</t>
        </is>
      </c>
      <c r="AH3" s="4" t="inlineStr">
        <is>
          <t>W28</t>
        </is>
      </c>
      <c r="AI3" s="4" t="inlineStr">
        <is>
          <t>W29</t>
        </is>
      </c>
      <c r="AJ3" s="4" t="inlineStr">
        <is>
          <t>W30</t>
        </is>
      </c>
      <c r="AK3" s="4" t="inlineStr">
        <is>
          <t>W31</t>
        </is>
      </c>
      <c r="AL3" s="4" t="inlineStr">
        <is>
          <t>W32</t>
        </is>
      </c>
      <c r="AM3" s="4" t="inlineStr">
        <is>
          <t>W33</t>
        </is>
      </c>
      <c r="AN3" s="4" t="inlineStr">
        <is>
          <t>W34</t>
        </is>
      </c>
      <c r="AO3" s="4" t="inlineStr">
        <is>
          <t>W35</t>
        </is>
      </c>
      <c r="AP3" s="4" t="inlineStr">
        <is>
          <t>W36</t>
        </is>
      </c>
      <c r="AQ3" s="4" t="inlineStr">
        <is>
          <t>W37</t>
        </is>
      </c>
      <c r="AR3" s="4" t="inlineStr">
        <is>
          <t>W38</t>
        </is>
      </c>
      <c r="AS3" s="4" t="inlineStr">
        <is>
          <t>W39</t>
        </is>
      </c>
      <c r="AT3" s="4" t="inlineStr">
        <is>
          <t>W40</t>
        </is>
      </c>
      <c r="AU3" s="4" t="inlineStr">
        <is>
          <t>W41</t>
        </is>
      </c>
      <c r="AV3" s="4" t="inlineStr">
        <is>
          <t>W42</t>
        </is>
      </c>
      <c r="AW3" s="4" t="inlineStr">
        <is>
          <t>W43</t>
        </is>
      </c>
      <c r="AX3" s="4" t="inlineStr">
        <is>
          <t>W44</t>
        </is>
      </c>
      <c r="AY3" s="4" t="inlineStr">
        <is>
          <t>W45</t>
        </is>
      </c>
      <c r="AZ3" s="4" t="inlineStr">
        <is>
          <t>W46</t>
        </is>
      </c>
      <c r="BA3" s="4" t="inlineStr">
        <is>
          <t>W47</t>
        </is>
      </c>
      <c r="BB3" s="4" t="inlineStr">
        <is>
          <t>W48</t>
        </is>
      </c>
      <c r="BC3" s="4" t="inlineStr">
        <is>
          <t>W49</t>
        </is>
      </c>
      <c r="BD3" s="4" t="inlineStr">
        <is>
          <t>W50</t>
        </is>
      </c>
      <c r="BE3" s="4" t="inlineStr">
        <is>
          <t>W51</t>
        </is>
      </c>
      <c r="BF3" s="4" t="inlineStr">
        <is>
          <t>W52</t>
        </is>
      </c>
    </row>
    <row r="4">
      <c r="A4" s="31" t="inlineStr">
        <is>
          <t>PHASE 1: FOUNDATION — Build Independent Infrastructure &amp; V2 Positioning (Weeks 1-8)</t>
        </is>
      </c>
    </row>
    <row r="5" ht="30" customHeight="1">
      <c r="A5" s="32" t="inlineStr">
        <is>
          <t>1</t>
        </is>
      </c>
      <c r="B5" s="14" t="inlineStr">
        <is>
          <t>Purchase 8 sending domains (Namecheap/Cloudflare)</t>
        </is>
      </c>
      <c r="C5" s="32" t="inlineStr">
        <is>
          <t>De Villiers</t>
        </is>
      </c>
      <c r="D5" s="32" t="inlineStr">
        <is>
          <t>Phase 1</t>
        </is>
      </c>
      <c r="E5" s="32" t="inlineStr">
        <is>
          <t>Not Started</t>
        </is>
      </c>
      <c r="F5" s="32" t="inlineStr">
        <is>
          <t>Critical path — start Day 1</t>
        </is>
      </c>
      <c r="G5" s="33" t="n"/>
      <c r="H5" s="33" t="n"/>
      <c r="I5" s="34" t="n"/>
      <c r="J5" s="35" t="n"/>
      <c r="K5" s="34" t="n"/>
      <c r="L5" s="35" t="n"/>
      <c r="M5" s="34" t="n"/>
      <c r="N5" s="35" t="n"/>
      <c r="O5" s="34" t="n"/>
      <c r="P5" s="35" t="n"/>
      <c r="Q5" s="34" t="n"/>
      <c r="R5" s="35" t="n"/>
      <c r="S5" s="34" t="n"/>
      <c r="T5" s="35" t="n"/>
      <c r="U5" s="34" t="n"/>
      <c r="V5" s="35" t="n"/>
      <c r="W5" s="34" t="n"/>
      <c r="X5" s="35" t="n"/>
      <c r="Y5" s="34" t="n"/>
      <c r="Z5" s="35" t="n"/>
      <c r="AA5" s="34" t="n"/>
      <c r="AB5" s="35" t="n"/>
      <c r="AC5" s="34" t="n"/>
      <c r="AD5" s="35" t="n"/>
      <c r="AE5" s="34" t="n"/>
      <c r="AF5" s="35" t="n"/>
      <c r="AG5" s="34" t="n"/>
      <c r="AH5" s="35" t="n"/>
      <c r="AI5" s="34" t="n"/>
      <c r="AJ5" s="35" t="n"/>
      <c r="AK5" s="34" t="n"/>
      <c r="AL5" s="35" t="n"/>
      <c r="AM5" s="34" t="n"/>
      <c r="AN5" s="35" t="n"/>
      <c r="AO5" s="34" t="n"/>
      <c r="AP5" s="35" t="n"/>
      <c r="AQ5" s="34" t="n"/>
      <c r="AR5" s="35" t="n"/>
      <c r="AS5" s="34" t="n"/>
      <c r="AT5" s="35" t="n"/>
      <c r="AU5" s="34" t="n"/>
      <c r="AV5" s="35" t="n"/>
      <c r="AW5" s="34" t="n"/>
      <c r="AX5" s="35" t="n"/>
      <c r="AY5" s="34" t="n"/>
      <c r="AZ5" s="35" t="n"/>
      <c r="BA5" s="34" t="n"/>
      <c r="BB5" s="35" t="n"/>
      <c r="BC5" s="34" t="n"/>
      <c r="BD5" s="35" t="n"/>
      <c r="BE5" s="34" t="n"/>
      <c r="BF5" s="35" t="n"/>
    </row>
    <row r="6" ht="30" customHeight="1">
      <c r="A6" s="36" t="inlineStr">
        <is>
          <t>2</t>
        </is>
      </c>
      <c r="B6" s="8" t="inlineStr">
        <is>
          <t>Set up YOUR Stripe account (independent billing, 0% Polsia share)</t>
        </is>
      </c>
      <c r="C6" s="36" t="inlineStr">
        <is>
          <t>De Villiers</t>
        </is>
      </c>
      <c r="D6" s="36" t="inlineStr">
        <is>
          <t>Phase 1</t>
        </is>
      </c>
      <c r="E6" s="36" t="inlineStr">
        <is>
          <t>Not Started</t>
        </is>
      </c>
      <c r="F6" s="36" t="inlineStr">
        <is>
          <t>Own your revenue</t>
        </is>
      </c>
      <c r="G6" s="33" t="n"/>
      <c r="H6" s="33" t="n"/>
      <c r="I6" s="34" t="n"/>
      <c r="J6" s="35" t="n"/>
      <c r="K6" s="34" t="n"/>
      <c r="L6" s="35" t="n"/>
      <c r="M6" s="34" t="n"/>
      <c r="N6" s="35" t="n"/>
      <c r="O6" s="34" t="n"/>
      <c r="P6" s="35" t="n"/>
      <c r="Q6" s="34" t="n"/>
      <c r="R6" s="35" t="n"/>
      <c r="S6" s="34" t="n"/>
      <c r="T6" s="35" t="n"/>
      <c r="U6" s="34" t="n"/>
      <c r="V6" s="35" t="n"/>
      <c r="W6" s="34" t="n"/>
      <c r="X6" s="35" t="n"/>
      <c r="Y6" s="34" t="n"/>
      <c r="Z6" s="35" t="n"/>
      <c r="AA6" s="34" t="n"/>
      <c r="AB6" s="35" t="n"/>
      <c r="AC6" s="34" t="n"/>
      <c r="AD6" s="35" t="n"/>
      <c r="AE6" s="34" t="n"/>
      <c r="AF6" s="35" t="n"/>
      <c r="AG6" s="34" t="n"/>
      <c r="AH6" s="35" t="n"/>
      <c r="AI6" s="34" t="n"/>
      <c r="AJ6" s="35" t="n"/>
      <c r="AK6" s="34" t="n"/>
      <c r="AL6" s="35" t="n"/>
      <c r="AM6" s="34" t="n"/>
      <c r="AN6" s="35" t="n"/>
      <c r="AO6" s="34" t="n"/>
      <c r="AP6" s="35" t="n"/>
      <c r="AQ6" s="34" t="n"/>
      <c r="AR6" s="35" t="n"/>
      <c r="AS6" s="34" t="n"/>
      <c r="AT6" s="35" t="n"/>
      <c r="AU6" s="34" t="n"/>
      <c r="AV6" s="35" t="n"/>
      <c r="AW6" s="34" t="n"/>
      <c r="AX6" s="35" t="n"/>
      <c r="AY6" s="34" t="n"/>
      <c r="AZ6" s="35" t="n"/>
      <c r="BA6" s="34" t="n"/>
      <c r="BB6" s="35" t="n"/>
      <c r="BC6" s="34" t="n"/>
      <c r="BD6" s="35" t="n"/>
      <c r="BE6" s="34" t="n"/>
      <c r="BF6" s="35" t="n"/>
    </row>
    <row r="7" ht="30" customHeight="1">
      <c r="A7" s="32" t="inlineStr">
        <is>
          <t>3</t>
        </is>
      </c>
      <c r="B7" s="14" t="inlineStr">
        <is>
          <t>Create Instantly.ai account (3 initial mailboxes)</t>
        </is>
      </c>
      <c r="C7" s="32" t="inlineStr">
        <is>
          <t>De Villiers</t>
        </is>
      </c>
      <c r="D7" s="32" t="inlineStr">
        <is>
          <t>Phase 1</t>
        </is>
      </c>
      <c r="E7" s="32" t="inlineStr">
        <is>
          <t>Not Started</t>
        </is>
      </c>
      <c r="F7" s="32" t="inlineStr"/>
      <c r="G7" s="33" t="n"/>
      <c r="H7" s="33" t="n"/>
      <c r="I7" s="34" t="n"/>
      <c r="J7" s="35" t="n"/>
      <c r="K7" s="34" t="n"/>
      <c r="L7" s="35" t="n"/>
      <c r="M7" s="34" t="n"/>
      <c r="N7" s="35" t="n"/>
      <c r="O7" s="34" t="n"/>
      <c r="P7" s="35" t="n"/>
      <c r="Q7" s="34" t="n"/>
      <c r="R7" s="35" t="n"/>
      <c r="S7" s="34" t="n"/>
      <c r="T7" s="35" t="n"/>
      <c r="U7" s="34" t="n"/>
      <c r="V7" s="35" t="n"/>
      <c r="W7" s="34" t="n"/>
      <c r="X7" s="35" t="n"/>
      <c r="Y7" s="34" t="n"/>
      <c r="Z7" s="35" t="n"/>
      <c r="AA7" s="34" t="n"/>
      <c r="AB7" s="35" t="n"/>
      <c r="AC7" s="34" t="n"/>
      <c r="AD7" s="35" t="n"/>
      <c r="AE7" s="34" t="n"/>
      <c r="AF7" s="35" t="n"/>
      <c r="AG7" s="34" t="n"/>
      <c r="AH7" s="35" t="n"/>
      <c r="AI7" s="34" t="n"/>
      <c r="AJ7" s="35" t="n"/>
      <c r="AK7" s="34" t="n"/>
      <c r="AL7" s="35" t="n"/>
      <c r="AM7" s="34" t="n"/>
      <c r="AN7" s="35" t="n"/>
      <c r="AO7" s="34" t="n"/>
      <c r="AP7" s="35" t="n"/>
      <c r="AQ7" s="34" t="n"/>
      <c r="AR7" s="35" t="n"/>
      <c r="AS7" s="34" t="n"/>
      <c r="AT7" s="35" t="n"/>
      <c r="AU7" s="34" t="n"/>
      <c r="AV7" s="35" t="n"/>
      <c r="AW7" s="34" t="n"/>
      <c r="AX7" s="35" t="n"/>
      <c r="AY7" s="34" t="n"/>
      <c r="AZ7" s="35" t="n"/>
      <c r="BA7" s="34" t="n"/>
      <c r="BB7" s="35" t="n"/>
      <c r="BC7" s="34" t="n"/>
      <c r="BD7" s="35" t="n"/>
      <c r="BE7" s="34" t="n"/>
      <c r="BF7" s="35" t="n"/>
    </row>
    <row r="8" ht="30" customHeight="1">
      <c r="A8" s="36" t="inlineStr">
        <is>
          <t>4</t>
        </is>
      </c>
      <c r="B8" s="8" t="inlineStr">
        <is>
          <t>Begin domain warming in Instantly (14-day critical path)</t>
        </is>
      </c>
      <c r="C8" s="36" t="inlineStr">
        <is>
          <t>Instantly (auto)</t>
        </is>
      </c>
      <c r="D8" s="36" t="inlineStr">
        <is>
          <t>Phase 1</t>
        </is>
      </c>
      <c r="E8" s="36" t="inlineStr">
        <is>
          <t>Not Started</t>
        </is>
      </c>
      <c r="F8" s="36" t="inlineStr">
        <is>
          <t>Must complete before first outreach</t>
        </is>
      </c>
      <c r="G8" s="33" t="n"/>
      <c r="H8" s="33" t="n"/>
      <c r="I8" s="33" t="n"/>
      <c r="J8" s="33" t="n"/>
      <c r="K8" s="34" t="n"/>
      <c r="L8" s="35" t="n"/>
      <c r="M8" s="34" t="n"/>
      <c r="N8" s="35" t="n"/>
      <c r="O8" s="34" t="n"/>
      <c r="P8" s="35" t="n"/>
      <c r="Q8" s="34" t="n"/>
      <c r="R8" s="35" t="n"/>
      <c r="S8" s="34" t="n"/>
      <c r="T8" s="35" t="n"/>
      <c r="U8" s="34" t="n"/>
      <c r="V8" s="35" t="n"/>
      <c r="W8" s="34" t="n"/>
      <c r="X8" s="35" t="n"/>
      <c r="Y8" s="34" t="n"/>
      <c r="Z8" s="35" t="n"/>
      <c r="AA8" s="34" t="n"/>
      <c r="AB8" s="35" t="n"/>
      <c r="AC8" s="34" t="n"/>
      <c r="AD8" s="35" t="n"/>
      <c r="AE8" s="34" t="n"/>
      <c r="AF8" s="35" t="n"/>
      <c r="AG8" s="34" t="n"/>
      <c r="AH8" s="35" t="n"/>
      <c r="AI8" s="34" t="n"/>
      <c r="AJ8" s="35" t="n"/>
      <c r="AK8" s="34" t="n"/>
      <c r="AL8" s="35" t="n"/>
      <c r="AM8" s="34" t="n"/>
      <c r="AN8" s="35" t="n"/>
      <c r="AO8" s="34" t="n"/>
      <c r="AP8" s="35" t="n"/>
      <c r="AQ8" s="34" t="n"/>
      <c r="AR8" s="35" t="n"/>
      <c r="AS8" s="34" t="n"/>
      <c r="AT8" s="35" t="n"/>
      <c r="AU8" s="34" t="n"/>
      <c r="AV8" s="35" t="n"/>
      <c r="AW8" s="34" t="n"/>
      <c r="AX8" s="35" t="n"/>
      <c r="AY8" s="34" t="n"/>
      <c r="AZ8" s="35" t="n"/>
      <c r="BA8" s="34" t="n"/>
      <c r="BB8" s="35" t="n"/>
      <c r="BC8" s="34" t="n"/>
      <c r="BD8" s="35" t="n"/>
      <c r="BE8" s="34" t="n"/>
      <c r="BF8" s="35" t="n"/>
    </row>
    <row r="9" ht="30" customHeight="1">
      <c r="A9" s="32" t="inlineStr">
        <is>
          <t>5</t>
        </is>
      </c>
      <c r="B9" s="14" t="inlineStr">
        <is>
          <t>Set up Apollo.io Pro plan (your own account)</t>
        </is>
      </c>
      <c r="C9" s="32" t="inlineStr">
        <is>
          <t>De Villiers</t>
        </is>
      </c>
      <c r="D9" s="32" t="inlineStr">
        <is>
          <t>Phase 1</t>
        </is>
      </c>
      <c r="E9" s="32" t="inlineStr">
        <is>
          <t>Not Started</t>
        </is>
      </c>
      <c r="F9" s="32" t="inlineStr"/>
      <c r="G9" s="33" t="n"/>
      <c r="H9" s="33" t="n"/>
      <c r="I9" s="34" t="n"/>
      <c r="J9" s="35" t="n"/>
      <c r="K9" s="34" t="n"/>
      <c r="L9" s="35" t="n"/>
      <c r="M9" s="34" t="n"/>
      <c r="N9" s="35" t="n"/>
      <c r="O9" s="34" t="n"/>
      <c r="P9" s="35" t="n"/>
      <c r="Q9" s="34" t="n"/>
      <c r="R9" s="35" t="n"/>
      <c r="S9" s="34" t="n"/>
      <c r="T9" s="35" t="n"/>
      <c r="U9" s="34" t="n"/>
      <c r="V9" s="35" t="n"/>
      <c r="W9" s="34" t="n"/>
      <c r="X9" s="35" t="n"/>
      <c r="Y9" s="34" t="n"/>
      <c r="Z9" s="35" t="n"/>
      <c r="AA9" s="34" t="n"/>
      <c r="AB9" s="35" t="n"/>
      <c r="AC9" s="34" t="n"/>
      <c r="AD9" s="35" t="n"/>
      <c r="AE9" s="34" t="n"/>
      <c r="AF9" s="35" t="n"/>
      <c r="AG9" s="34" t="n"/>
      <c r="AH9" s="35" t="n"/>
      <c r="AI9" s="34" t="n"/>
      <c r="AJ9" s="35" t="n"/>
      <c r="AK9" s="34" t="n"/>
      <c r="AL9" s="35" t="n"/>
      <c r="AM9" s="34" t="n"/>
      <c r="AN9" s="35" t="n"/>
      <c r="AO9" s="34" t="n"/>
      <c r="AP9" s="35" t="n"/>
      <c r="AQ9" s="34" t="n"/>
      <c r="AR9" s="35" t="n"/>
      <c r="AS9" s="34" t="n"/>
      <c r="AT9" s="35" t="n"/>
      <c r="AU9" s="34" t="n"/>
      <c r="AV9" s="35" t="n"/>
      <c r="AW9" s="34" t="n"/>
      <c r="AX9" s="35" t="n"/>
      <c r="AY9" s="34" t="n"/>
      <c r="AZ9" s="35" t="n"/>
      <c r="BA9" s="34" t="n"/>
      <c r="BB9" s="35" t="n"/>
      <c r="BC9" s="34" t="n"/>
      <c r="BD9" s="35" t="n"/>
      <c r="BE9" s="34" t="n"/>
      <c r="BF9" s="35" t="n"/>
    </row>
    <row r="10" ht="30" customHeight="1">
      <c r="A10" s="36" t="inlineStr">
        <is>
          <t>6</t>
        </is>
      </c>
      <c r="B10" s="8" t="inlineStr">
        <is>
          <t>Configure HubSpot CRM (free tier, pipeline stages)</t>
        </is>
      </c>
      <c r="C10" s="36" t="inlineStr">
        <is>
          <t>De Villiers</t>
        </is>
      </c>
      <c r="D10" s="36" t="inlineStr">
        <is>
          <t>Phase 1</t>
        </is>
      </c>
      <c r="E10" s="36" t="inlineStr">
        <is>
          <t>Not Started</t>
        </is>
      </c>
      <c r="F10" s="36" t="inlineStr"/>
      <c r="G10" s="33" t="n"/>
      <c r="H10" s="33" t="n"/>
      <c r="I10" s="34" t="n"/>
      <c r="J10" s="35" t="n"/>
      <c r="K10" s="34" t="n"/>
      <c r="L10" s="35" t="n"/>
      <c r="M10" s="34" t="n"/>
      <c r="N10" s="35" t="n"/>
      <c r="O10" s="34" t="n"/>
      <c r="P10" s="35" t="n"/>
      <c r="Q10" s="34" t="n"/>
      <c r="R10" s="35" t="n"/>
      <c r="S10" s="34" t="n"/>
      <c r="T10" s="35" t="n"/>
      <c r="U10" s="34" t="n"/>
      <c r="V10" s="35" t="n"/>
      <c r="W10" s="34" t="n"/>
      <c r="X10" s="35" t="n"/>
      <c r="Y10" s="34" t="n"/>
      <c r="Z10" s="35" t="n"/>
      <c r="AA10" s="34" t="n"/>
      <c r="AB10" s="35" t="n"/>
      <c r="AC10" s="34" t="n"/>
      <c r="AD10" s="35" t="n"/>
      <c r="AE10" s="34" t="n"/>
      <c r="AF10" s="35" t="n"/>
      <c r="AG10" s="34" t="n"/>
      <c r="AH10" s="35" t="n"/>
      <c r="AI10" s="34" t="n"/>
      <c r="AJ10" s="35" t="n"/>
      <c r="AK10" s="34" t="n"/>
      <c r="AL10" s="35" t="n"/>
      <c r="AM10" s="34" t="n"/>
      <c r="AN10" s="35" t="n"/>
      <c r="AO10" s="34" t="n"/>
      <c r="AP10" s="35" t="n"/>
      <c r="AQ10" s="34" t="n"/>
      <c r="AR10" s="35" t="n"/>
      <c r="AS10" s="34" t="n"/>
      <c r="AT10" s="35" t="n"/>
      <c r="AU10" s="34" t="n"/>
      <c r="AV10" s="35" t="n"/>
      <c r="AW10" s="34" t="n"/>
      <c r="AX10" s="35" t="n"/>
      <c r="AY10" s="34" t="n"/>
      <c r="AZ10" s="35" t="n"/>
      <c r="BA10" s="34" t="n"/>
      <c r="BB10" s="35" t="n"/>
      <c r="BC10" s="34" t="n"/>
      <c r="BD10" s="35" t="n"/>
      <c r="BE10" s="34" t="n"/>
      <c r="BF10" s="35" t="n"/>
    </row>
    <row r="11" ht="30" customHeight="1">
      <c r="A11" s="32" t="inlineStr">
        <is>
          <t>7</t>
        </is>
      </c>
      <c r="B11" s="14" t="inlineStr">
        <is>
          <t>Set up Calendly booking links</t>
        </is>
      </c>
      <c r="C11" s="32" t="inlineStr">
        <is>
          <t>De Villiers</t>
        </is>
      </c>
      <c r="D11" s="32" t="inlineStr">
        <is>
          <t>Phase 1</t>
        </is>
      </c>
      <c r="E11" s="32" t="inlineStr">
        <is>
          <t>Not Started</t>
        </is>
      </c>
      <c r="F11" s="32" t="inlineStr"/>
      <c r="G11" s="33" t="n"/>
      <c r="H11" s="35" t="n"/>
      <c r="I11" s="34" t="n"/>
      <c r="J11" s="35" t="n"/>
      <c r="K11" s="34" t="n"/>
      <c r="L11" s="35" t="n"/>
      <c r="M11" s="34" t="n"/>
      <c r="N11" s="35" t="n"/>
      <c r="O11" s="34" t="n"/>
      <c r="P11" s="35" t="n"/>
      <c r="Q11" s="34" t="n"/>
      <c r="R11" s="35" t="n"/>
      <c r="S11" s="34" t="n"/>
      <c r="T11" s="35" t="n"/>
      <c r="U11" s="34" t="n"/>
      <c r="V11" s="35" t="n"/>
      <c r="W11" s="34" t="n"/>
      <c r="X11" s="35" t="n"/>
      <c r="Y11" s="34" t="n"/>
      <c r="Z11" s="35" t="n"/>
      <c r="AA11" s="34" t="n"/>
      <c r="AB11" s="35" t="n"/>
      <c r="AC11" s="34" t="n"/>
      <c r="AD11" s="35" t="n"/>
      <c r="AE11" s="34" t="n"/>
      <c r="AF11" s="35" t="n"/>
      <c r="AG11" s="34" t="n"/>
      <c r="AH11" s="35" t="n"/>
      <c r="AI11" s="34" t="n"/>
      <c r="AJ11" s="35" t="n"/>
      <c r="AK11" s="34" t="n"/>
      <c r="AL11" s="35" t="n"/>
      <c r="AM11" s="34" t="n"/>
      <c r="AN11" s="35" t="n"/>
      <c r="AO11" s="34" t="n"/>
      <c r="AP11" s="35" t="n"/>
      <c r="AQ11" s="34" t="n"/>
      <c r="AR11" s="35" t="n"/>
      <c r="AS11" s="34" t="n"/>
      <c r="AT11" s="35" t="n"/>
      <c r="AU11" s="34" t="n"/>
      <c r="AV11" s="35" t="n"/>
      <c r="AW11" s="34" t="n"/>
      <c r="AX11" s="35" t="n"/>
      <c r="AY11" s="34" t="n"/>
      <c r="AZ11" s="35" t="n"/>
      <c r="BA11" s="34" t="n"/>
      <c r="BB11" s="35" t="n"/>
      <c r="BC11" s="34" t="n"/>
      <c r="BD11" s="35" t="n"/>
      <c r="BE11" s="34" t="n"/>
      <c r="BF11" s="35" t="n"/>
    </row>
    <row r="12" ht="30" customHeight="1">
      <c r="A12" s="36" t="inlineStr">
        <is>
          <t>8</t>
        </is>
      </c>
      <c r="B12" s="8" t="inlineStr">
        <is>
          <t>Set up Notion workspace (playbooks, SOPs, client folders)</t>
        </is>
      </c>
      <c r="C12" s="36" t="inlineStr">
        <is>
          <t>De Villiers</t>
        </is>
      </c>
      <c r="D12" s="36" t="inlineStr">
        <is>
          <t>Phase 1</t>
        </is>
      </c>
      <c r="E12" s="36" t="inlineStr">
        <is>
          <t>Not Started</t>
        </is>
      </c>
      <c r="F12" s="36" t="inlineStr">
        <is>
          <t>YOUR IP storage — not Polsia</t>
        </is>
      </c>
      <c r="G12" s="33" t="n"/>
      <c r="H12" s="33" t="n"/>
      <c r="I12" s="34" t="n"/>
      <c r="J12" s="35" t="n"/>
      <c r="K12" s="34" t="n"/>
      <c r="L12" s="35" t="n"/>
      <c r="M12" s="34" t="n"/>
      <c r="N12" s="35" t="n"/>
      <c r="O12" s="34" t="n"/>
      <c r="P12" s="35" t="n"/>
      <c r="Q12" s="34" t="n"/>
      <c r="R12" s="35" t="n"/>
      <c r="S12" s="34" t="n"/>
      <c r="T12" s="35" t="n"/>
      <c r="U12" s="34" t="n"/>
      <c r="V12" s="35" t="n"/>
      <c r="W12" s="34" t="n"/>
      <c r="X12" s="35" t="n"/>
      <c r="Y12" s="34" t="n"/>
      <c r="Z12" s="35" t="n"/>
      <c r="AA12" s="34" t="n"/>
      <c r="AB12" s="35" t="n"/>
      <c r="AC12" s="34" t="n"/>
      <c r="AD12" s="35" t="n"/>
      <c r="AE12" s="34" t="n"/>
      <c r="AF12" s="35" t="n"/>
      <c r="AG12" s="34" t="n"/>
      <c r="AH12" s="35" t="n"/>
      <c r="AI12" s="34" t="n"/>
      <c r="AJ12" s="35" t="n"/>
      <c r="AK12" s="34" t="n"/>
      <c r="AL12" s="35" t="n"/>
      <c r="AM12" s="34" t="n"/>
      <c r="AN12" s="35" t="n"/>
      <c r="AO12" s="34" t="n"/>
      <c r="AP12" s="35" t="n"/>
      <c r="AQ12" s="34" t="n"/>
      <c r="AR12" s="35" t="n"/>
      <c r="AS12" s="34" t="n"/>
      <c r="AT12" s="35" t="n"/>
      <c r="AU12" s="34" t="n"/>
      <c r="AV12" s="35" t="n"/>
      <c r="AW12" s="34" t="n"/>
      <c r="AX12" s="35" t="n"/>
      <c r="AY12" s="34" t="n"/>
      <c r="AZ12" s="35" t="n"/>
      <c r="BA12" s="34" t="n"/>
      <c r="BB12" s="35" t="n"/>
      <c r="BC12" s="34" t="n"/>
      <c r="BD12" s="35" t="n"/>
      <c r="BE12" s="34" t="n"/>
      <c r="BF12" s="35" t="n"/>
    </row>
    <row r="13" ht="30" customHeight="1">
      <c r="A13" s="32" t="inlineStr">
        <is>
          <t>9</t>
        </is>
      </c>
      <c r="B13" s="14" t="inlineStr">
        <is>
          <t>Create Polsia instance (AI co-pilot, NOT infrastructure)</t>
        </is>
      </c>
      <c r="C13" s="32" t="inlineStr">
        <is>
          <t>De Villiers</t>
        </is>
      </c>
      <c r="D13" s="32" t="inlineStr">
        <is>
          <t>Phase 1</t>
        </is>
      </c>
      <c r="E13" s="32" t="inlineStr">
        <is>
          <t>Not Started</t>
        </is>
      </c>
      <c r="F13" s="32" t="inlineStr">
        <is>
          <t>Polsia = drafts only; De Villiers approves all output</t>
        </is>
      </c>
      <c r="G13" s="33" t="n"/>
      <c r="H13" s="33" t="n"/>
      <c r="I13" s="34" t="n"/>
      <c r="J13" s="35" t="n"/>
      <c r="K13" s="34" t="n"/>
      <c r="L13" s="35" t="n"/>
      <c r="M13" s="34" t="n"/>
      <c r="N13" s="35" t="n"/>
      <c r="O13" s="34" t="n"/>
      <c r="P13" s="35" t="n"/>
      <c r="Q13" s="34" t="n"/>
      <c r="R13" s="35" t="n"/>
      <c r="S13" s="34" t="n"/>
      <c r="T13" s="35" t="n"/>
      <c r="U13" s="34" t="n"/>
      <c r="V13" s="35" t="n"/>
      <c r="W13" s="34" t="n"/>
      <c r="X13" s="35" t="n"/>
      <c r="Y13" s="34" t="n"/>
      <c r="Z13" s="35" t="n"/>
      <c r="AA13" s="34" t="n"/>
      <c r="AB13" s="35" t="n"/>
      <c r="AC13" s="34" t="n"/>
      <c r="AD13" s="35" t="n"/>
      <c r="AE13" s="34" t="n"/>
      <c r="AF13" s="35" t="n"/>
      <c r="AG13" s="34" t="n"/>
      <c r="AH13" s="35" t="n"/>
      <c r="AI13" s="34" t="n"/>
      <c r="AJ13" s="35" t="n"/>
      <c r="AK13" s="34" t="n"/>
      <c r="AL13" s="35" t="n"/>
      <c r="AM13" s="34" t="n"/>
      <c r="AN13" s="35" t="n"/>
      <c r="AO13" s="34" t="n"/>
      <c r="AP13" s="35" t="n"/>
      <c r="AQ13" s="34" t="n"/>
      <c r="AR13" s="35" t="n"/>
      <c r="AS13" s="34" t="n"/>
      <c r="AT13" s="35" t="n"/>
      <c r="AU13" s="34" t="n"/>
      <c r="AV13" s="35" t="n"/>
      <c r="AW13" s="34" t="n"/>
      <c r="AX13" s="35" t="n"/>
      <c r="AY13" s="34" t="n"/>
      <c r="AZ13" s="35" t="n"/>
      <c r="BA13" s="34" t="n"/>
      <c r="BB13" s="35" t="n"/>
      <c r="BC13" s="34" t="n"/>
      <c r="BD13" s="35" t="n"/>
      <c r="BE13" s="34" t="n"/>
      <c r="BF13" s="35" t="n"/>
    </row>
    <row r="14" ht="30" customHeight="1">
      <c r="A14" s="36" t="inlineStr">
        <is>
          <t>10</t>
        </is>
      </c>
      <c r="B14" s="8" t="inlineStr">
        <is>
          <t>Build website/landing page with V2 guarantee messaging</t>
        </is>
      </c>
      <c r="C14" s="36" t="inlineStr">
        <is>
          <t>De Villiers</t>
        </is>
      </c>
      <c r="D14" s="36" t="inlineStr">
        <is>
          <t>Phase 1</t>
        </is>
      </c>
      <c r="E14" s="36" t="inlineStr">
        <is>
          <t>Not Started</t>
        </is>
      </c>
      <c r="F14" s="36" t="inlineStr">
        <is>
          <t>Lead with guarantee, not AI features</t>
        </is>
      </c>
      <c r="G14" s="34" t="n"/>
      <c r="H14" s="33" t="n"/>
      <c r="I14" s="33" t="n"/>
      <c r="J14" s="33" t="n"/>
      <c r="K14" s="34" t="n"/>
      <c r="L14" s="35" t="n"/>
      <c r="M14" s="34" t="n"/>
      <c r="N14" s="35" t="n"/>
      <c r="O14" s="34" t="n"/>
      <c r="P14" s="35" t="n"/>
      <c r="Q14" s="34" t="n"/>
      <c r="R14" s="35" t="n"/>
      <c r="S14" s="34" t="n"/>
      <c r="T14" s="35" t="n"/>
      <c r="U14" s="34" t="n"/>
      <c r="V14" s="35" t="n"/>
      <c r="W14" s="34" t="n"/>
      <c r="X14" s="35" t="n"/>
      <c r="Y14" s="34" t="n"/>
      <c r="Z14" s="35" t="n"/>
      <c r="AA14" s="34" t="n"/>
      <c r="AB14" s="35" t="n"/>
      <c r="AC14" s="34" t="n"/>
      <c r="AD14" s="35" t="n"/>
      <c r="AE14" s="34" t="n"/>
      <c r="AF14" s="35" t="n"/>
      <c r="AG14" s="34" t="n"/>
      <c r="AH14" s="35" t="n"/>
      <c r="AI14" s="34" t="n"/>
      <c r="AJ14" s="35" t="n"/>
      <c r="AK14" s="34" t="n"/>
      <c r="AL14" s="35" t="n"/>
      <c r="AM14" s="34" t="n"/>
      <c r="AN14" s="35" t="n"/>
      <c r="AO14" s="34" t="n"/>
      <c r="AP14" s="35" t="n"/>
      <c r="AQ14" s="34" t="n"/>
      <c r="AR14" s="35" t="n"/>
      <c r="AS14" s="34" t="n"/>
      <c r="AT14" s="35" t="n"/>
      <c r="AU14" s="34" t="n"/>
      <c r="AV14" s="35" t="n"/>
      <c r="AW14" s="34" t="n"/>
      <c r="AX14" s="35" t="n"/>
      <c r="AY14" s="34" t="n"/>
      <c r="AZ14" s="35" t="n"/>
      <c r="BA14" s="34" t="n"/>
      <c r="BB14" s="35" t="n"/>
      <c r="BC14" s="34" t="n"/>
      <c r="BD14" s="35" t="n"/>
      <c r="BE14" s="34" t="n"/>
      <c r="BF14" s="35" t="n"/>
    </row>
    <row r="15" ht="30" customHeight="1">
      <c r="A15" s="32" t="inlineStr">
        <is>
          <t>11</t>
        </is>
      </c>
      <c r="B15" s="14" t="inlineStr">
        <is>
          <t>Define ICP + guarantee levels: Vertical 1 (Management Consulting)</t>
        </is>
      </c>
      <c r="C15" s="32" t="inlineStr">
        <is>
          <t>De Villiers</t>
        </is>
      </c>
      <c r="D15" s="32" t="inlineStr">
        <is>
          <t>Phase 1</t>
        </is>
      </c>
      <c r="E15" s="32" t="inlineStr">
        <is>
          <t>Not Started</t>
        </is>
      </c>
      <c r="F15" s="32" t="inlineStr">
        <is>
          <t>Collaborate with Marinus on strategy</t>
        </is>
      </c>
      <c r="G15" s="34" t="n"/>
      <c r="H15" s="33" t="n"/>
      <c r="I15" s="33" t="n"/>
      <c r="J15" s="33" t="n"/>
      <c r="K15" s="34" t="n"/>
      <c r="L15" s="35" t="n"/>
      <c r="M15" s="34" t="n"/>
      <c r="N15" s="35" t="n"/>
      <c r="O15" s="34" t="n"/>
      <c r="P15" s="35" t="n"/>
      <c r="Q15" s="34" t="n"/>
      <c r="R15" s="35" t="n"/>
      <c r="S15" s="34" t="n"/>
      <c r="T15" s="35" t="n"/>
      <c r="U15" s="34" t="n"/>
      <c r="V15" s="35" t="n"/>
      <c r="W15" s="34" t="n"/>
      <c r="X15" s="35" t="n"/>
      <c r="Y15" s="34" t="n"/>
      <c r="Z15" s="35" t="n"/>
      <c r="AA15" s="34" t="n"/>
      <c r="AB15" s="35" t="n"/>
      <c r="AC15" s="34" t="n"/>
      <c r="AD15" s="35" t="n"/>
      <c r="AE15" s="34" t="n"/>
      <c r="AF15" s="35" t="n"/>
      <c r="AG15" s="34" t="n"/>
      <c r="AH15" s="35" t="n"/>
      <c r="AI15" s="34" t="n"/>
      <c r="AJ15" s="35" t="n"/>
      <c r="AK15" s="34" t="n"/>
      <c r="AL15" s="35" t="n"/>
      <c r="AM15" s="34" t="n"/>
      <c r="AN15" s="35" t="n"/>
      <c r="AO15" s="34" t="n"/>
      <c r="AP15" s="35" t="n"/>
      <c r="AQ15" s="34" t="n"/>
      <c r="AR15" s="35" t="n"/>
      <c r="AS15" s="34" t="n"/>
      <c r="AT15" s="35" t="n"/>
      <c r="AU15" s="34" t="n"/>
      <c r="AV15" s="35" t="n"/>
      <c r="AW15" s="34" t="n"/>
      <c r="AX15" s="35" t="n"/>
      <c r="AY15" s="34" t="n"/>
      <c r="AZ15" s="35" t="n"/>
      <c r="BA15" s="34" t="n"/>
      <c r="BB15" s="35" t="n"/>
      <c r="BC15" s="34" t="n"/>
      <c r="BD15" s="35" t="n"/>
      <c r="BE15" s="34" t="n"/>
      <c r="BF15" s="35" t="n"/>
    </row>
    <row r="16" ht="30" customHeight="1">
      <c r="A16" s="36" t="inlineStr">
        <is>
          <t>12</t>
        </is>
      </c>
      <c r="B16" s="8" t="inlineStr">
        <is>
          <t>Define ICP + guarantee levels: Vertical 2 (IT Services / MSPs)</t>
        </is>
      </c>
      <c r="C16" s="36" t="inlineStr">
        <is>
          <t>De Villiers</t>
        </is>
      </c>
      <c r="D16" s="36" t="inlineStr">
        <is>
          <t>Phase 1</t>
        </is>
      </c>
      <c r="E16" s="36" t="inlineStr">
        <is>
          <t>Not Started</t>
        </is>
      </c>
      <c r="F16" s="36" t="inlineStr"/>
      <c r="G16" s="34" t="n"/>
      <c r="H16" s="33" t="n"/>
      <c r="I16" s="33" t="n"/>
      <c r="J16" s="33" t="n"/>
      <c r="K16" s="34" t="n"/>
      <c r="L16" s="35" t="n"/>
      <c r="M16" s="34" t="n"/>
      <c r="N16" s="35" t="n"/>
      <c r="O16" s="34" t="n"/>
      <c r="P16" s="35" t="n"/>
      <c r="Q16" s="34" t="n"/>
      <c r="R16" s="35" t="n"/>
      <c r="S16" s="34" t="n"/>
      <c r="T16" s="35" t="n"/>
      <c r="U16" s="34" t="n"/>
      <c r="V16" s="35" t="n"/>
      <c r="W16" s="34" t="n"/>
      <c r="X16" s="35" t="n"/>
      <c r="Y16" s="34" t="n"/>
      <c r="Z16" s="35" t="n"/>
      <c r="AA16" s="34" t="n"/>
      <c r="AB16" s="35" t="n"/>
      <c r="AC16" s="34" t="n"/>
      <c r="AD16" s="35" t="n"/>
      <c r="AE16" s="34" t="n"/>
      <c r="AF16" s="35" t="n"/>
      <c r="AG16" s="34" t="n"/>
      <c r="AH16" s="35" t="n"/>
      <c r="AI16" s="34" t="n"/>
      <c r="AJ16" s="35" t="n"/>
      <c r="AK16" s="34" t="n"/>
      <c r="AL16" s="35" t="n"/>
      <c r="AM16" s="34" t="n"/>
      <c r="AN16" s="35" t="n"/>
      <c r="AO16" s="34" t="n"/>
      <c r="AP16" s="35" t="n"/>
      <c r="AQ16" s="34" t="n"/>
      <c r="AR16" s="35" t="n"/>
      <c r="AS16" s="34" t="n"/>
      <c r="AT16" s="35" t="n"/>
      <c r="AU16" s="34" t="n"/>
      <c r="AV16" s="35" t="n"/>
      <c r="AW16" s="34" t="n"/>
      <c r="AX16" s="35" t="n"/>
      <c r="AY16" s="34" t="n"/>
      <c r="AZ16" s="35" t="n"/>
      <c r="BA16" s="34" t="n"/>
      <c r="BB16" s="35" t="n"/>
      <c r="BC16" s="34" t="n"/>
      <c r="BD16" s="35" t="n"/>
      <c r="BE16" s="34" t="n"/>
      <c r="BF16" s="35" t="n"/>
    </row>
    <row r="17" ht="30" customHeight="1">
      <c r="A17" s="32" t="inlineStr">
        <is>
          <t>13</t>
        </is>
      </c>
      <c r="B17" s="14" t="inlineStr">
        <is>
          <t>Define ICP + guarantee levels: Vertical 3 (SaaS Companies)</t>
        </is>
      </c>
      <c r="C17" s="32" t="inlineStr">
        <is>
          <t>De Villiers</t>
        </is>
      </c>
      <c r="D17" s="32" t="inlineStr">
        <is>
          <t>Phase 1</t>
        </is>
      </c>
      <c r="E17" s="32" t="inlineStr">
        <is>
          <t>Not Started</t>
        </is>
      </c>
      <c r="F17" s="32" t="inlineStr"/>
      <c r="G17" s="34" t="n"/>
      <c r="H17" s="33" t="n"/>
      <c r="I17" s="33" t="n"/>
      <c r="J17" s="33" t="n"/>
      <c r="K17" s="34" t="n"/>
      <c r="L17" s="35" t="n"/>
      <c r="M17" s="34" t="n"/>
      <c r="N17" s="35" t="n"/>
      <c r="O17" s="34" t="n"/>
      <c r="P17" s="35" t="n"/>
      <c r="Q17" s="34" t="n"/>
      <c r="R17" s="35" t="n"/>
      <c r="S17" s="34" t="n"/>
      <c r="T17" s="35" t="n"/>
      <c r="U17" s="34" t="n"/>
      <c r="V17" s="35" t="n"/>
      <c r="W17" s="34" t="n"/>
      <c r="X17" s="35" t="n"/>
      <c r="Y17" s="34" t="n"/>
      <c r="Z17" s="35" t="n"/>
      <c r="AA17" s="34" t="n"/>
      <c r="AB17" s="35" t="n"/>
      <c r="AC17" s="34" t="n"/>
      <c r="AD17" s="35" t="n"/>
      <c r="AE17" s="34" t="n"/>
      <c r="AF17" s="35" t="n"/>
      <c r="AG17" s="34" t="n"/>
      <c r="AH17" s="35" t="n"/>
      <c r="AI17" s="34" t="n"/>
      <c r="AJ17" s="35" t="n"/>
      <c r="AK17" s="34" t="n"/>
      <c r="AL17" s="35" t="n"/>
      <c r="AM17" s="34" t="n"/>
      <c r="AN17" s="35" t="n"/>
      <c r="AO17" s="34" t="n"/>
      <c r="AP17" s="35" t="n"/>
      <c r="AQ17" s="34" t="n"/>
      <c r="AR17" s="35" t="n"/>
      <c r="AS17" s="34" t="n"/>
      <c r="AT17" s="35" t="n"/>
      <c r="AU17" s="34" t="n"/>
      <c r="AV17" s="35" t="n"/>
      <c r="AW17" s="34" t="n"/>
      <c r="AX17" s="35" t="n"/>
      <c r="AY17" s="34" t="n"/>
      <c r="AZ17" s="35" t="n"/>
      <c r="BA17" s="34" t="n"/>
      <c r="BB17" s="35" t="n"/>
      <c r="BC17" s="34" t="n"/>
      <c r="BD17" s="35" t="n"/>
      <c r="BE17" s="34" t="n"/>
      <c r="BF17" s="35" t="n"/>
    </row>
    <row r="18" ht="30" customHeight="1">
      <c r="A18" s="36" t="inlineStr">
        <is>
          <t>14</t>
        </is>
      </c>
      <c r="B18" s="8" t="inlineStr">
        <is>
          <t>Polsia drafts email sequences (5-touch x 3 verticals, V2 tone)</t>
        </is>
      </c>
      <c r="C18" s="36" t="inlineStr">
        <is>
          <t>Polsia</t>
        </is>
      </c>
      <c r="D18" s="36" t="inlineStr">
        <is>
          <t>Phase 1</t>
        </is>
      </c>
      <c r="E18" s="36" t="inlineStr">
        <is>
          <t>Not Started</t>
        </is>
      </c>
      <c r="F18" s="36" t="inlineStr">
        <is>
          <t>Guarantee-led messaging</t>
        </is>
      </c>
      <c r="G18" s="34" t="n"/>
      <c r="H18" s="35" t="n"/>
      <c r="I18" s="33" t="n"/>
      <c r="J18" s="33" t="n"/>
      <c r="K18" s="33" t="n"/>
      <c r="L18" s="35" t="n"/>
      <c r="M18" s="34" t="n"/>
      <c r="N18" s="35" t="n"/>
      <c r="O18" s="34" t="n"/>
      <c r="P18" s="35" t="n"/>
      <c r="Q18" s="34" t="n"/>
      <c r="R18" s="35" t="n"/>
      <c r="S18" s="34" t="n"/>
      <c r="T18" s="35" t="n"/>
      <c r="U18" s="34" t="n"/>
      <c r="V18" s="35" t="n"/>
      <c r="W18" s="34" t="n"/>
      <c r="X18" s="35" t="n"/>
      <c r="Y18" s="34" t="n"/>
      <c r="Z18" s="35" t="n"/>
      <c r="AA18" s="34" t="n"/>
      <c r="AB18" s="35" t="n"/>
      <c r="AC18" s="34" t="n"/>
      <c r="AD18" s="35" t="n"/>
      <c r="AE18" s="34" t="n"/>
      <c r="AF18" s="35" t="n"/>
      <c r="AG18" s="34" t="n"/>
      <c r="AH18" s="35" t="n"/>
      <c r="AI18" s="34" t="n"/>
      <c r="AJ18" s="35" t="n"/>
      <c r="AK18" s="34" t="n"/>
      <c r="AL18" s="35" t="n"/>
      <c r="AM18" s="34" t="n"/>
      <c r="AN18" s="35" t="n"/>
      <c r="AO18" s="34" t="n"/>
      <c r="AP18" s="35" t="n"/>
      <c r="AQ18" s="34" t="n"/>
      <c r="AR18" s="35" t="n"/>
      <c r="AS18" s="34" t="n"/>
      <c r="AT18" s="35" t="n"/>
      <c r="AU18" s="34" t="n"/>
      <c r="AV18" s="35" t="n"/>
      <c r="AW18" s="34" t="n"/>
      <c r="AX18" s="35" t="n"/>
      <c r="AY18" s="34" t="n"/>
      <c r="AZ18" s="35" t="n"/>
      <c r="BA18" s="34" t="n"/>
      <c r="BB18" s="35" t="n"/>
      <c r="BC18" s="34" t="n"/>
      <c r="BD18" s="35" t="n"/>
      <c r="BE18" s="34" t="n"/>
      <c r="BF18" s="35" t="n"/>
    </row>
    <row r="19" ht="30" customHeight="1">
      <c r="A19" s="37" t="inlineStr">
        <is>
          <t>15</t>
        </is>
      </c>
      <c r="B19" s="30" t="inlineStr">
        <is>
          <t>APPROVAL GATE: De Villiers reviews &amp; refines all email sequences</t>
        </is>
      </c>
      <c r="C19" s="37" t="inlineStr">
        <is>
          <t>De Villiers</t>
        </is>
      </c>
      <c r="D19" s="37" t="inlineStr">
        <is>
          <t>Phase 1</t>
        </is>
      </c>
      <c r="E19" s="37" t="inlineStr">
        <is>
          <t>Not Started</t>
        </is>
      </c>
      <c r="F19" s="37" t="inlineStr">
        <is>
          <t>Nothing deploys without sign-off</t>
        </is>
      </c>
      <c r="G19" s="34" t="n"/>
      <c r="H19" s="35" t="n"/>
      <c r="I19" s="34" t="n"/>
      <c r="J19" s="38" t="n"/>
      <c r="K19" s="38" t="n"/>
      <c r="L19" s="38" t="n"/>
      <c r="M19" s="34" t="n"/>
      <c r="N19" s="35" t="n"/>
      <c r="O19" s="34" t="n"/>
      <c r="P19" s="35" t="n"/>
      <c r="Q19" s="34" t="n"/>
      <c r="R19" s="35" t="n"/>
      <c r="S19" s="34" t="n"/>
      <c r="T19" s="35" t="n"/>
      <c r="U19" s="34" t="n"/>
      <c r="V19" s="35" t="n"/>
      <c r="W19" s="34" t="n"/>
      <c r="X19" s="35" t="n"/>
      <c r="Y19" s="34" t="n"/>
      <c r="Z19" s="35" t="n"/>
      <c r="AA19" s="34" t="n"/>
      <c r="AB19" s="35" t="n"/>
      <c r="AC19" s="34" t="n"/>
      <c r="AD19" s="35" t="n"/>
      <c r="AE19" s="34" t="n"/>
      <c r="AF19" s="35" t="n"/>
      <c r="AG19" s="34" t="n"/>
      <c r="AH19" s="35" t="n"/>
      <c r="AI19" s="34" t="n"/>
      <c r="AJ19" s="35" t="n"/>
      <c r="AK19" s="34" t="n"/>
      <c r="AL19" s="35" t="n"/>
      <c r="AM19" s="34" t="n"/>
      <c r="AN19" s="35" t="n"/>
      <c r="AO19" s="34" t="n"/>
      <c r="AP19" s="35" t="n"/>
      <c r="AQ19" s="34" t="n"/>
      <c r="AR19" s="35" t="n"/>
      <c r="AS19" s="34" t="n"/>
      <c r="AT19" s="35" t="n"/>
      <c r="AU19" s="34" t="n"/>
      <c r="AV19" s="35" t="n"/>
      <c r="AW19" s="34" t="n"/>
      <c r="AX19" s="35" t="n"/>
      <c r="AY19" s="34" t="n"/>
      <c r="AZ19" s="35" t="n"/>
      <c r="BA19" s="34" t="n"/>
      <c r="BB19" s="35" t="n"/>
      <c r="BC19" s="34" t="n"/>
      <c r="BD19" s="35" t="n"/>
      <c r="BE19" s="34" t="n"/>
      <c r="BF19" s="35" t="n"/>
    </row>
    <row r="20" ht="30" customHeight="1">
      <c r="A20" s="36" t="inlineStr">
        <is>
          <t>16</t>
        </is>
      </c>
      <c r="B20" s="8" t="inlineStr">
        <is>
          <t>Polsia drafts LinkedIn messaging templates (V2 outcome framing)</t>
        </is>
      </c>
      <c r="C20" s="36" t="inlineStr">
        <is>
          <t>Polsia</t>
        </is>
      </c>
      <c r="D20" s="36" t="inlineStr">
        <is>
          <t>Phase 1</t>
        </is>
      </c>
      <c r="E20" s="36" t="inlineStr">
        <is>
          <t>Not Started</t>
        </is>
      </c>
      <c r="F20" s="36" t="inlineStr"/>
      <c r="G20" s="34" t="n"/>
      <c r="H20" s="35" t="n"/>
      <c r="I20" s="33" t="n"/>
      <c r="J20" s="33" t="n"/>
      <c r="K20" s="33" t="n"/>
      <c r="L20" s="35" t="n"/>
      <c r="M20" s="34" t="n"/>
      <c r="N20" s="35" t="n"/>
      <c r="O20" s="34" t="n"/>
      <c r="P20" s="35" t="n"/>
      <c r="Q20" s="34" t="n"/>
      <c r="R20" s="35" t="n"/>
      <c r="S20" s="34" t="n"/>
      <c r="T20" s="35" t="n"/>
      <c r="U20" s="34" t="n"/>
      <c r="V20" s="35" t="n"/>
      <c r="W20" s="34" t="n"/>
      <c r="X20" s="35" t="n"/>
      <c r="Y20" s="34" t="n"/>
      <c r="Z20" s="35" t="n"/>
      <c r="AA20" s="34" t="n"/>
      <c r="AB20" s="35" t="n"/>
      <c r="AC20" s="34" t="n"/>
      <c r="AD20" s="35" t="n"/>
      <c r="AE20" s="34" t="n"/>
      <c r="AF20" s="35" t="n"/>
      <c r="AG20" s="34" t="n"/>
      <c r="AH20" s="35" t="n"/>
      <c r="AI20" s="34" t="n"/>
      <c r="AJ20" s="35" t="n"/>
      <c r="AK20" s="34" t="n"/>
      <c r="AL20" s="35" t="n"/>
      <c r="AM20" s="34" t="n"/>
      <c r="AN20" s="35" t="n"/>
      <c r="AO20" s="34" t="n"/>
      <c r="AP20" s="35" t="n"/>
      <c r="AQ20" s="34" t="n"/>
      <c r="AR20" s="35" t="n"/>
      <c r="AS20" s="34" t="n"/>
      <c r="AT20" s="35" t="n"/>
      <c r="AU20" s="34" t="n"/>
      <c r="AV20" s="35" t="n"/>
      <c r="AW20" s="34" t="n"/>
      <c r="AX20" s="35" t="n"/>
      <c r="AY20" s="34" t="n"/>
      <c r="AZ20" s="35" t="n"/>
      <c r="BA20" s="34" t="n"/>
      <c r="BB20" s="35" t="n"/>
      <c r="BC20" s="34" t="n"/>
      <c r="BD20" s="35" t="n"/>
      <c r="BE20" s="34" t="n"/>
      <c r="BF20" s="35" t="n"/>
    </row>
    <row r="21" ht="30" customHeight="1">
      <c r="A21" s="37" t="inlineStr">
        <is>
          <t>17</t>
        </is>
      </c>
      <c r="B21" s="30" t="inlineStr">
        <is>
          <t>APPROVAL GATE: De Villiers reviews &amp; refines LinkedIn templates</t>
        </is>
      </c>
      <c r="C21" s="37" t="inlineStr">
        <is>
          <t>De Villiers</t>
        </is>
      </c>
      <c r="D21" s="37" t="inlineStr">
        <is>
          <t>Phase 1</t>
        </is>
      </c>
      <c r="E21" s="37" t="inlineStr">
        <is>
          <t>Not Started</t>
        </is>
      </c>
      <c r="F21" s="37" t="inlineStr"/>
      <c r="G21" s="34" t="n"/>
      <c r="H21" s="35" t="n"/>
      <c r="I21" s="34" t="n"/>
      <c r="J21" s="38" t="n"/>
      <c r="K21" s="38" t="n"/>
      <c r="L21" s="38" t="n"/>
      <c r="M21" s="34" t="n"/>
      <c r="N21" s="35" t="n"/>
      <c r="O21" s="34" t="n"/>
      <c r="P21" s="35" t="n"/>
      <c r="Q21" s="34" t="n"/>
      <c r="R21" s="35" t="n"/>
      <c r="S21" s="34" t="n"/>
      <c r="T21" s="35" t="n"/>
      <c r="U21" s="34" t="n"/>
      <c r="V21" s="35" t="n"/>
      <c r="W21" s="34" t="n"/>
      <c r="X21" s="35" t="n"/>
      <c r="Y21" s="34" t="n"/>
      <c r="Z21" s="35" t="n"/>
      <c r="AA21" s="34" t="n"/>
      <c r="AB21" s="35" t="n"/>
      <c r="AC21" s="34" t="n"/>
      <c r="AD21" s="35" t="n"/>
      <c r="AE21" s="34" t="n"/>
      <c r="AF21" s="35" t="n"/>
      <c r="AG21" s="34" t="n"/>
      <c r="AH21" s="35" t="n"/>
      <c r="AI21" s="34" t="n"/>
      <c r="AJ21" s="35" t="n"/>
      <c r="AK21" s="34" t="n"/>
      <c r="AL21" s="35" t="n"/>
      <c r="AM21" s="34" t="n"/>
      <c r="AN21" s="35" t="n"/>
      <c r="AO21" s="34" t="n"/>
      <c r="AP21" s="35" t="n"/>
      <c r="AQ21" s="34" t="n"/>
      <c r="AR21" s="35" t="n"/>
      <c r="AS21" s="34" t="n"/>
      <c r="AT21" s="35" t="n"/>
      <c r="AU21" s="34" t="n"/>
      <c r="AV21" s="35" t="n"/>
      <c r="AW21" s="34" t="n"/>
      <c r="AX21" s="35" t="n"/>
      <c r="AY21" s="34" t="n"/>
      <c r="AZ21" s="35" t="n"/>
      <c r="BA21" s="34" t="n"/>
      <c r="BB21" s="35" t="n"/>
      <c r="BC21" s="34" t="n"/>
      <c r="BD21" s="35" t="n"/>
      <c r="BE21" s="34" t="n"/>
      <c r="BF21" s="35" t="n"/>
    </row>
    <row r="22" ht="30" customHeight="1">
      <c r="A22" s="36" t="inlineStr">
        <is>
          <t>18</t>
        </is>
      </c>
      <c r="B22" s="8" t="inlineStr">
        <is>
          <t>Build prospect lists in Apollo (500+ per vertical, ICP validated)</t>
        </is>
      </c>
      <c r="C22" s="36" t="inlineStr">
        <is>
          <t>De Villiers</t>
        </is>
      </c>
      <c r="D22" s="36" t="inlineStr">
        <is>
          <t>Phase 1</t>
        </is>
      </c>
      <c r="E22" s="36" t="inlineStr">
        <is>
          <t>Not Started</t>
        </is>
      </c>
      <c r="F22" s="36" t="inlineStr"/>
      <c r="G22" s="34" t="n"/>
      <c r="H22" s="35" t="n"/>
      <c r="I22" s="34" t="n"/>
      <c r="J22" s="35" t="n"/>
      <c r="K22" s="33" t="n"/>
      <c r="L22" s="33" t="n"/>
      <c r="M22" s="33" t="n"/>
      <c r="N22" s="35" t="n"/>
      <c r="O22" s="34" t="n"/>
      <c r="P22" s="35" t="n"/>
      <c r="Q22" s="34" t="n"/>
      <c r="R22" s="35" t="n"/>
      <c r="S22" s="34" t="n"/>
      <c r="T22" s="35" t="n"/>
      <c r="U22" s="34" t="n"/>
      <c r="V22" s="35" t="n"/>
      <c r="W22" s="34" t="n"/>
      <c r="X22" s="35" t="n"/>
      <c r="Y22" s="34" t="n"/>
      <c r="Z22" s="35" t="n"/>
      <c r="AA22" s="34" t="n"/>
      <c r="AB22" s="35" t="n"/>
      <c r="AC22" s="34" t="n"/>
      <c r="AD22" s="35" t="n"/>
      <c r="AE22" s="34" t="n"/>
      <c r="AF22" s="35" t="n"/>
      <c r="AG22" s="34" t="n"/>
      <c r="AH22" s="35" t="n"/>
      <c r="AI22" s="34" t="n"/>
      <c r="AJ22" s="35" t="n"/>
      <c r="AK22" s="34" t="n"/>
      <c r="AL22" s="35" t="n"/>
      <c r="AM22" s="34" t="n"/>
      <c r="AN22" s="35" t="n"/>
      <c r="AO22" s="34" t="n"/>
      <c r="AP22" s="35" t="n"/>
      <c r="AQ22" s="34" t="n"/>
      <c r="AR22" s="35" t="n"/>
      <c r="AS22" s="34" t="n"/>
      <c r="AT22" s="35" t="n"/>
      <c r="AU22" s="34" t="n"/>
      <c r="AV22" s="35" t="n"/>
      <c r="AW22" s="34" t="n"/>
      <c r="AX22" s="35" t="n"/>
      <c r="AY22" s="34" t="n"/>
      <c r="AZ22" s="35" t="n"/>
      <c r="BA22" s="34" t="n"/>
      <c r="BB22" s="35" t="n"/>
      <c r="BC22" s="34" t="n"/>
      <c r="BD22" s="35" t="n"/>
      <c r="BE22" s="34" t="n"/>
      <c r="BF22" s="35" t="n"/>
    </row>
    <row r="23" ht="30" customHeight="1">
      <c r="A23" s="32" t="inlineStr">
        <is>
          <t>19</t>
        </is>
      </c>
      <c r="B23" s="14" t="inlineStr">
        <is>
          <t>Load approved sequences + lists into Instantly</t>
        </is>
      </c>
      <c r="C23" s="32" t="inlineStr">
        <is>
          <t>De Villiers</t>
        </is>
      </c>
      <c r="D23" s="32" t="inlineStr">
        <is>
          <t>Phase 1</t>
        </is>
      </c>
      <c r="E23" s="32" t="inlineStr">
        <is>
          <t>Not Started</t>
        </is>
      </c>
      <c r="F23" s="32" t="inlineStr"/>
      <c r="G23" s="34" t="n"/>
      <c r="H23" s="35" t="n"/>
      <c r="I23" s="34" t="n"/>
      <c r="J23" s="35" t="n"/>
      <c r="K23" s="34" t="n"/>
      <c r="L23" s="33" t="n"/>
      <c r="M23" s="33" t="n"/>
      <c r="N23" s="35" t="n"/>
      <c r="O23" s="34" t="n"/>
      <c r="P23" s="35" t="n"/>
      <c r="Q23" s="34" t="n"/>
      <c r="R23" s="35" t="n"/>
      <c r="S23" s="34" t="n"/>
      <c r="T23" s="35" t="n"/>
      <c r="U23" s="34" t="n"/>
      <c r="V23" s="35" t="n"/>
      <c r="W23" s="34" t="n"/>
      <c r="X23" s="35" t="n"/>
      <c r="Y23" s="34" t="n"/>
      <c r="Z23" s="35" t="n"/>
      <c r="AA23" s="34" t="n"/>
      <c r="AB23" s="35" t="n"/>
      <c r="AC23" s="34" t="n"/>
      <c r="AD23" s="35" t="n"/>
      <c r="AE23" s="34" t="n"/>
      <c r="AF23" s="35" t="n"/>
      <c r="AG23" s="34" t="n"/>
      <c r="AH23" s="35" t="n"/>
      <c r="AI23" s="34" t="n"/>
      <c r="AJ23" s="35" t="n"/>
      <c r="AK23" s="34" t="n"/>
      <c r="AL23" s="35" t="n"/>
      <c r="AM23" s="34" t="n"/>
      <c r="AN23" s="35" t="n"/>
      <c r="AO23" s="34" t="n"/>
      <c r="AP23" s="35" t="n"/>
      <c r="AQ23" s="34" t="n"/>
      <c r="AR23" s="35" t="n"/>
      <c r="AS23" s="34" t="n"/>
      <c r="AT23" s="35" t="n"/>
      <c r="AU23" s="34" t="n"/>
      <c r="AV23" s="35" t="n"/>
      <c r="AW23" s="34" t="n"/>
      <c r="AX23" s="35" t="n"/>
      <c r="AY23" s="34" t="n"/>
      <c r="AZ23" s="35" t="n"/>
      <c r="BA23" s="34" t="n"/>
      <c r="BB23" s="35" t="n"/>
      <c r="BC23" s="34" t="n"/>
      <c r="BD23" s="35" t="n"/>
      <c r="BE23" s="34" t="n"/>
      <c r="BF23" s="35" t="n"/>
    </row>
    <row r="24" ht="30" customHeight="1">
      <c r="A24" s="36" t="inlineStr">
        <is>
          <t>20</t>
        </is>
      </c>
      <c r="B24" s="8" t="inlineStr">
        <is>
          <t>Domain warming VALIDATED (&gt;90% inbox placement)</t>
        </is>
      </c>
      <c r="C24" s="36" t="inlineStr">
        <is>
          <t>De Villiers</t>
        </is>
      </c>
      <c r="D24" s="36" t="inlineStr">
        <is>
          <t>Phase 1</t>
        </is>
      </c>
      <c r="E24" s="36" t="inlineStr">
        <is>
          <t>Not Started</t>
        </is>
      </c>
      <c r="F24" s="36" t="inlineStr">
        <is>
          <t>Do not send live outreach until validated</t>
        </is>
      </c>
      <c r="G24" s="34" t="n"/>
      <c r="H24" s="35" t="n"/>
      <c r="I24" s="33" t="n"/>
      <c r="J24" s="33" t="n"/>
      <c r="K24" s="34" t="n"/>
      <c r="L24" s="35" t="n"/>
      <c r="M24" s="34" t="n"/>
      <c r="N24" s="35" t="n"/>
      <c r="O24" s="34" t="n"/>
      <c r="P24" s="35" t="n"/>
      <c r="Q24" s="34" t="n"/>
      <c r="R24" s="35" t="n"/>
      <c r="S24" s="34" t="n"/>
      <c r="T24" s="35" t="n"/>
      <c r="U24" s="34" t="n"/>
      <c r="V24" s="35" t="n"/>
      <c r="W24" s="34" t="n"/>
      <c r="X24" s="35" t="n"/>
      <c r="Y24" s="34" t="n"/>
      <c r="Z24" s="35" t="n"/>
      <c r="AA24" s="34" t="n"/>
      <c r="AB24" s="35" t="n"/>
      <c r="AC24" s="34" t="n"/>
      <c r="AD24" s="35" t="n"/>
      <c r="AE24" s="34" t="n"/>
      <c r="AF24" s="35" t="n"/>
      <c r="AG24" s="34" t="n"/>
      <c r="AH24" s="35" t="n"/>
      <c r="AI24" s="34" t="n"/>
      <c r="AJ24" s="35" t="n"/>
      <c r="AK24" s="34" t="n"/>
      <c r="AL24" s="35" t="n"/>
      <c r="AM24" s="34" t="n"/>
      <c r="AN24" s="35" t="n"/>
      <c r="AO24" s="34" t="n"/>
      <c r="AP24" s="35" t="n"/>
      <c r="AQ24" s="34" t="n"/>
      <c r="AR24" s="35" t="n"/>
      <c r="AS24" s="34" t="n"/>
      <c r="AT24" s="35" t="n"/>
      <c r="AU24" s="34" t="n"/>
      <c r="AV24" s="35" t="n"/>
      <c r="AW24" s="34" t="n"/>
      <c r="AX24" s="35" t="n"/>
      <c r="AY24" s="34" t="n"/>
      <c r="AZ24" s="35" t="n"/>
      <c r="BA24" s="34" t="n"/>
      <c r="BB24" s="35" t="n"/>
      <c r="BC24" s="34" t="n"/>
      <c r="BD24" s="35" t="n"/>
      <c r="BE24" s="34" t="n"/>
      <c r="BF24" s="35" t="n"/>
    </row>
    <row r="25" ht="30" customHeight="1">
      <c r="A25" s="32" t="inlineStr">
        <is>
          <t>21</t>
        </is>
      </c>
      <c r="B25" s="14" t="inlineStr">
        <is>
          <t>Set up Expandi for LinkedIn automation</t>
        </is>
      </c>
      <c r="C25" s="32" t="inlineStr">
        <is>
          <t>De Villiers</t>
        </is>
      </c>
      <c r="D25" s="32" t="inlineStr">
        <is>
          <t>Phase 1</t>
        </is>
      </c>
      <c r="E25" s="32" t="inlineStr">
        <is>
          <t>Not Started</t>
        </is>
      </c>
      <c r="F25" s="32" t="inlineStr"/>
      <c r="G25" s="34" t="n"/>
      <c r="H25" s="35" t="n"/>
      <c r="I25" s="34" t="n"/>
      <c r="J25" s="33" t="n"/>
      <c r="K25" s="33" t="n"/>
      <c r="L25" s="33" t="n"/>
      <c r="M25" s="34" t="n"/>
      <c r="N25" s="35" t="n"/>
      <c r="O25" s="34" t="n"/>
      <c r="P25" s="35" t="n"/>
      <c r="Q25" s="34" t="n"/>
      <c r="R25" s="35" t="n"/>
      <c r="S25" s="34" t="n"/>
      <c r="T25" s="35" t="n"/>
      <c r="U25" s="34" t="n"/>
      <c r="V25" s="35" t="n"/>
      <c r="W25" s="34" t="n"/>
      <c r="X25" s="35" t="n"/>
      <c r="Y25" s="34" t="n"/>
      <c r="Z25" s="35" t="n"/>
      <c r="AA25" s="34" t="n"/>
      <c r="AB25" s="35" t="n"/>
      <c r="AC25" s="34" t="n"/>
      <c r="AD25" s="35" t="n"/>
      <c r="AE25" s="34" t="n"/>
      <c r="AF25" s="35" t="n"/>
      <c r="AG25" s="34" t="n"/>
      <c r="AH25" s="35" t="n"/>
      <c r="AI25" s="34" t="n"/>
      <c r="AJ25" s="35" t="n"/>
      <c r="AK25" s="34" t="n"/>
      <c r="AL25" s="35" t="n"/>
      <c r="AM25" s="34" t="n"/>
      <c r="AN25" s="35" t="n"/>
      <c r="AO25" s="34" t="n"/>
      <c r="AP25" s="35" t="n"/>
      <c r="AQ25" s="34" t="n"/>
      <c r="AR25" s="35" t="n"/>
      <c r="AS25" s="34" t="n"/>
      <c r="AT25" s="35" t="n"/>
      <c r="AU25" s="34" t="n"/>
      <c r="AV25" s="35" t="n"/>
      <c r="AW25" s="34" t="n"/>
      <c r="AX25" s="35" t="n"/>
      <c r="AY25" s="34" t="n"/>
      <c r="AZ25" s="35" t="n"/>
      <c r="BA25" s="34" t="n"/>
      <c r="BB25" s="35" t="n"/>
      <c r="BC25" s="34" t="n"/>
      <c r="BD25" s="35" t="n"/>
      <c r="BE25" s="34" t="n"/>
      <c r="BF25" s="35" t="n"/>
    </row>
    <row r="26" ht="30" customHeight="1">
      <c r="A26" s="36" t="inlineStr">
        <is>
          <t>22</t>
        </is>
      </c>
      <c r="B26" s="8" t="inlineStr">
        <is>
          <t>Activate JigsawAI/inlumiSA network (personal outreach to 50-100 contacts)</t>
        </is>
      </c>
      <c r="C26" s="36" t="inlineStr">
        <is>
          <t>De Villiers</t>
        </is>
      </c>
      <c r="D26" s="36" t="inlineStr">
        <is>
          <t>Phase 1</t>
        </is>
      </c>
      <c r="E26" s="36" t="inlineStr">
        <is>
          <t>Not Started</t>
        </is>
      </c>
      <c r="F26" s="36" t="inlineStr">
        <is>
          <t>Lowest CAC channel — activate first</t>
        </is>
      </c>
      <c r="G26" s="34" t="n"/>
      <c r="H26" s="35" t="n"/>
      <c r="I26" s="33" t="n"/>
      <c r="J26" s="33" t="n"/>
      <c r="K26" s="33" t="n"/>
      <c r="L26" s="33" t="n"/>
      <c r="M26" s="34" t="n"/>
      <c r="N26" s="35" t="n"/>
      <c r="O26" s="34" t="n"/>
      <c r="P26" s="35" t="n"/>
      <c r="Q26" s="34" t="n"/>
      <c r="R26" s="35" t="n"/>
      <c r="S26" s="34" t="n"/>
      <c r="T26" s="35" t="n"/>
      <c r="U26" s="34" t="n"/>
      <c r="V26" s="35" t="n"/>
      <c r="W26" s="34" t="n"/>
      <c r="X26" s="35" t="n"/>
      <c r="Y26" s="34" t="n"/>
      <c r="Z26" s="35" t="n"/>
      <c r="AA26" s="34" t="n"/>
      <c r="AB26" s="35" t="n"/>
      <c r="AC26" s="34" t="n"/>
      <c r="AD26" s="35" t="n"/>
      <c r="AE26" s="34" t="n"/>
      <c r="AF26" s="35" t="n"/>
      <c r="AG26" s="34" t="n"/>
      <c r="AH26" s="35" t="n"/>
      <c r="AI26" s="34" t="n"/>
      <c r="AJ26" s="35" t="n"/>
      <c r="AK26" s="34" t="n"/>
      <c r="AL26" s="35" t="n"/>
      <c r="AM26" s="34" t="n"/>
      <c r="AN26" s="35" t="n"/>
      <c r="AO26" s="34" t="n"/>
      <c r="AP26" s="35" t="n"/>
      <c r="AQ26" s="34" t="n"/>
      <c r="AR26" s="35" t="n"/>
      <c r="AS26" s="34" t="n"/>
      <c r="AT26" s="35" t="n"/>
      <c r="AU26" s="34" t="n"/>
      <c r="AV26" s="35" t="n"/>
      <c r="AW26" s="34" t="n"/>
      <c r="AX26" s="35" t="n"/>
      <c r="AY26" s="34" t="n"/>
      <c r="AZ26" s="35" t="n"/>
      <c r="BA26" s="34" t="n"/>
      <c r="BB26" s="35" t="n"/>
      <c r="BC26" s="34" t="n"/>
      <c r="BD26" s="35" t="n"/>
      <c r="BE26" s="34" t="n"/>
      <c r="BF26" s="35" t="n"/>
    </row>
    <row r="27" ht="30" customHeight="1">
      <c r="A27" s="32" t="inlineStr">
        <is>
          <t>23</t>
        </is>
      </c>
      <c r="B27" s="14" t="inlineStr">
        <is>
          <t>Create client onboarding questionnaire (Google Forms)</t>
        </is>
      </c>
      <c r="C27" s="32" t="inlineStr">
        <is>
          <t>De Villiers</t>
        </is>
      </c>
      <c r="D27" s="32" t="inlineStr">
        <is>
          <t>Phase 1</t>
        </is>
      </c>
      <c r="E27" s="32" t="inlineStr">
        <is>
          <t>Not Started</t>
        </is>
      </c>
      <c r="F27" s="32" t="inlineStr">
        <is>
          <t>ICP + guarantee tier confirmation</t>
        </is>
      </c>
      <c r="G27" s="34" t="n"/>
      <c r="H27" s="35" t="n"/>
      <c r="I27" s="33" t="n"/>
      <c r="J27" s="33" t="n"/>
      <c r="K27" s="34" t="n"/>
      <c r="L27" s="35" t="n"/>
      <c r="M27" s="34" t="n"/>
      <c r="N27" s="35" t="n"/>
      <c r="O27" s="34" t="n"/>
      <c r="P27" s="35" t="n"/>
      <c r="Q27" s="34" t="n"/>
      <c r="R27" s="35" t="n"/>
      <c r="S27" s="34" t="n"/>
      <c r="T27" s="35" t="n"/>
      <c r="U27" s="34" t="n"/>
      <c r="V27" s="35" t="n"/>
      <c r="W27" s="34" t="n"/>
      <c r="X27" s="35" t="n"/>
      <c r="Y27" s="34" t="n"/>
      <c r="Z27" s="35" t="n"/>
      <c r="AA27" s="34" t="n"/>
      <c r="AB27" s="35" t="n"/>
      <c r="AC27" s="34" t="n"/>
      <c r="AD27" s="35" t="n"/>
      <c r="AE27" s="34" t="n"/>
      <c r="AF27" s="35" t="n"/>
      <c r="AG27" s="34" t="n"/>
      <c r="AH27" s="35" t="n"/>
      <c r="AI27" s="34" t="n"/>
      <c r="AJ27" s="35" t="n"/>
      <c r="AK27" s="34" t="n"/>
      <c r="AL27" s="35" t="n"/>
      <c r="AM27" s="34" t="n"/>
      <c r="AN27" s="35" t="n"/>
      <c r="AO27" s="34" t="n"/>
      <c r="AP27" s="35" t="n"/>
      <c r="AQ27" s="34" t="n"/>
      <c r="AR27" s="35" t="n"/>
      <c r="AS27" s="34" t="n"/>
      <c r="AT27" s="35" t="n"/>
      <c r="AU27" s="34" t="n"/>
      <c r="AV27" s="35" t="n"/>
      <c r="AW27" s="34" t="n"/>
      <c r="AX27" s="35" t="n"/>
      <c r="AY27" s="34" t="n"/>
      <c r="AZ27" s="35" t="n"/>
      <c r="BA27" s="34" t="n"/>
      <c r="BB27" s="35" t="n"/>
      <c r="BC27" s="34" t="n"/>
      <c r="BD27" s="35" t="n"/>
      <c r="BE27" s="34" t="n"/>
      <c r="BF27" s="35" t="n"/>
    </row>
    <row r="28" ht="30" customHeight="1">
      <c r="A28" s="36" t="inlineStr">
        <is>
          <t>24</t>
        </is>
      </c>
      <c r="B28" s="8" t="inlineStr">
        <is>
          <t>Create weekly reporting template (includes guarantee tracking)</t>
        </is>
      </c>
      <c r="C28" s="36" t="inlineStr">
        <is>
          <t>De Villiers</t>
        </is>
      </c>
      <c r="D28" s="36" t="inlineStr">
        <is>
          <t>Phase 1</t>
        </is>
      </c>
      <c r="E28" s="36" t="inlineStr">
        <is>
          <t>Not Started</t>
        </is>
      </c>
      <c r="F28" s="36" t="inlineStr"/>
      <c r="G28" s="34" t="n"/>
      <c r="H28" s="35" t="n"/>
      <c r="I28" s="34" t="n"/>
      <c r="J28" s="33" t="n"/>
      <c r="K28" s="33" t="n"/>
      <c r="L28" s="35" t="n"/>
      <c r="M28" s="34" t="n"/>
      <c r="N28" s="35" t="n"/>
      <c r="O28" s="34" t="n"/>
      <c r="P28" s="35" t="n"/>
      <c r="Q28" s="34" t="n"/>
      <c r="R28" s="35" t="n"/>
      <c r="S28" s="34" t="n"/>
      <c r="T28" s="35" t="n"/>
      <c r="U28" s="34" t="n"/>
      <c r="V28" s="35" t="n"/>
      <c r="W28" s="34" t="n"/>
      <c r="X28" s="35" t="n"/>
      <c r="Y28" s="34" t="n"/>
      <c r="Z28" s="35" t="n"/>
      <c r="AA28" s="34" t="n"/>
      <c r="AB28" s="35" t="n"/>
      <c r="AC28" s="34" t="n"/>
      <c r="AD28" s="35" t="n"/>
      <c r="AE28" s="34" t="n"/>
      <c r="AF28" s="35" t="n"/>
      <c r="AG28" s="34" t="n"/>
      <c r="AH28" s="35" t="n"/>
      <c r="AI28" s="34" t="n"/>
      <c r="AJ28" s="35" t="n"/>
      <c r="AK28" s="34" t="n"/>
      <c r="AL28" s="35" t="n"/>
      <c r="AM28" s="34" t="n"/>
      <c r="AN28" s="35" t="n"/>
      <c r="AO28" s="34" t="n"/>
      <c r="AP28" s="35" t="n"/>
      <c r="AQ28" s="34" t="n"/>
      <c r="AR28" s="35" t="n"/>
      <c r="AS28" s="34" t="n"/>
      <c r="AT28" s="35" t="n"/>
      <c r="AU28" s="34" t="n"/>
      <c r="AV28" s="35" t="n"/>
      <c r="AW28" s="34" t="n"/>
      <c r="AX28" s="35" t="n"/>
      <c r="AY28" s="34" t="n"/>
      <c r="AZ28" s="35" t="n"/>
      <c r="BA28" s="34" t="n"/>
      <c r="BB28" s="35" t="n"/>
      <c r="BC28" s="34" t="n"/>
      <c r="BD28" s="35" t="n"/>
      <c r="BE28" s="34" t="n"/>
      <c r="BF28" s="35" t="n"/>
    </row>
    <row r="29" ht="30" customHeight="1">
      <c r="A29" s="32" t="inlineStr">
        <is>
          <t>25</t>
        </is>
      </c>
      <c r="B29" s="14" t="inlineStr">
        <is>
          <t>Store all playbooks + V2 guarantee framework in Notion (YOUR IP)</t>
        </is>
      </c>
      <c r="C29" s="32" t="inlineStr">
        <is>
          <t>De Villiers</t>
        </is>
      </c>
      <c r="D29" s="32" t="inlineStr">
        <is>
          <t>Phase 1</t>
        </is>
      </c>
      <c r="E29" s="32" t="inlineStr">
        <is>
          <t>Not Started</t>
        </is>
      </c>
      <c r="F29" s="32" t="inlineStr">
        <is>
          <t>Portable, version-controlled</t>
        </is>
      </c>
      <c r="G29" s="34" t="n"/>
      <c r="H29" s="35" t="n"/>
      <c r="I29" s="34" t="n"/>
      <c r="J29" s="33" t="n"/>
      <c r="K29" s="33" t="n"/>
      <c r="L29" s="33" t="n"/>
      <c r="M29" s="34" t="n"/>
      <c r="N29" s="35" t="n"/>
      <c r="O29" s="34" t="n"/>
      <c r="P29" s="35" t="n"/>
      <c r="Q29" s="34" t="n"/>
      <c r="R29" s="35" t="n"/>
      <c r="S29" s="34" t="n"/>
      <c r="T29" s="35" t="n"/>
      <c r="U29" s="34" t="n"/>
      <c r="V29" s="35" t="n"/>
      <c r="W29" s="34" t="n"/>
      <c r="X29" s="35" t="n"/>
      <c r="Y29" s="34" t="n"/>
      <c r="Z29" s="35" t="n"/>
      <c r="AA29" s="34" t="n"/>
      <c r="AB29" s="35" t="n"/>
      <c r="AC29" s="34" t="n"/>
      <c r="AD29" s="35" t="n"/>
      <c r="AE29" s="34" t="n"/>
      <c r="AF29" s="35" t="n"/>
      <c r="AG29" s="34" t="n"/>
      <c r="AH29" s="35" t="n"/>
      <c r="AI29" s="34" t="n"/>
      <c r="AJ29" s="35" t="n"/>
      <c r="AK29" s="34" t="n"/>
      <c r="AL29" s="35" t="n"/>
      <c r="AM29" s="34" t="n"/>
      <c r="AN29" s="35" t="n"/>
      <c r="AO29" s="34" t="n"/>
      <c r="AP29" s="35" t="n"/>
      <c r="AQ29" s="34" t="n"/>
      <c r="AR29" s="35" t="n"/>
      <c r="AS29" s="34" t="n"/>
      <c r="AT29" s="35" t="n"/>
      <c r="AU29" s="34" t="n"/>
      <c r="AV29" s="35" t="n"/>
      <c r="AW29" s="34" t="n"/>
      <c r="AX29" s="35" t="n"/>
      <c r="AY29" s="34" t="n"/>
      <c r="AZ29" s="35" t="n"/>
      <c r="BA29" s="34" t="n"/>
      <c r="BB29" s="35" t="n"/>
      <c r="BC29" s="34" t="n"/>
      <c r="BD29" s="35" t="n"/>
      <c r="BE29" s="34" t="n"/>
      <c r="BF29" s="35" t="n"/>
    </row>
    <row r="30" ht="30" customHeight="1">
      <c r="A30" s="36" t="inlineStr">
        <is>
          <t>26</t>
        </is>
      </c>
      <c r="B30" s="8" t="inlineStr">
        <is>
          <t>Polsia generates 3 blog posts (SEO/GEO, V2 positioning)</t>
        </is>
      </c>
      <c r="C30" s="36" t="inlineStr">
        <is>
          <t>Polsia</t>
        </is>
      </c>
      <c r="D30" s="36" t="inlineStr">
        <is>
          <t>Phase 1</t>
        </is>
      </c>
      <c r="E30" s="36" t="inlineStr">
        <is>
          <t>Not Started</t>
        </is>
      </c>
      <c r="F30" s="36" t="inlineStr"/>
      <c r="G30" s="34" t="n"/>
      <c r="H30" s="35" t="n"/>
      <c r="I30" s="34" t="n"/>
      <c r="J30" s="35" t="n"/>
      <c r="K30" s="33" t="n"/>
      <c r="L30" s="33" t="n"/>
      <c r="M30" s="33" t="n"/>
      <c r="N30" s="35" t="n"/>
      <c r="O30" s="34" t="n"/>
      <c r="P30" s="35" t="n"/>
      <c r="Q30" s="34" t="n"/>
      <c r="R30" s="35" t="n"/>
      <c r="S30" s="34" t="n"/>
      <c r="T30" s="35" t="n"/>
      <c r="U30" s="34" t="n"/>
      <c r="V30" s="35" t="n"/>
      <c r="W30" s="34" t="n"/>
      <c r="X30" s="35" t="n"/>
      <c r="Y30" s="34" t="n"/>
      <c r="Z30" s="35" t="n"/>
      <c r="AA30" s="34" t="n"/>
      <c r="AB30" s="35" t="n"/>
      <c r="AC30" s="34" t="n"/>
      <c r="AD30" s="35" t="n"/>
      <c r="AE30" s="34" t="n"/>
      <c r="AF30" s="35" t="n"/>
      <c r="AG30" s="34" t="n"/>
      <c r="AH30" s="35" t="n"/>
      <c r="AI30" s="34" t="n"/>
      <c r="AJ30" s="35" t="n"/>
      <c r="AK30" s="34" t="n"/>
      <c r="AL30" s="35" t="n"/>
      <c r="AM30" s="34" t="n"/>
      <c r="AN30" s="35" t="n"/>
      <c r="AO30" s="34" t="n"/>
      <c r="AP30" s="35" t="n"/>
      <c r="AQ30" s="34" t="n"/>
      <c r="AR30" s="35" t="n"/>
      <c r="AS30" s="34" t="n"/>
      <c r="AT30" s="35" t="n"/>
      <c r="AU30" s="34" t="n"/>
      <c r="AV30" s="35" t="n"/>
      <c r="AW30" s="34" t="n"/>
      <c r="AX30" s="35" t="n"/>
      <c r="AY30" s="34" t="n"/>
      <c r="AZ30" s="35" t="n"/>
      <c r="BA30" s="34" t="n"/>
      <c r="BB30" s="35" t="n"/>
      <c r="BC30" s="34" t="n"/>
      <c r="BD30" s="35" t="n"/>
      <c r="BE30" s="34" t="n"/>
      <c r="BF30" s="35" t="n"/>
    </row>
    <row r="31" ht="30" customHeight="1">
      <c r="A31" s="37" t="inlineStr">
        <is>
          <t>27</t>
        </is>
      </c>
      <c r="B31" s="30" t="inlineStr">
        <is>
          <t>APPROVAL GATE: De Villiers reviews &amp; publishes blog content</t>
        </is>
      </c>
      <c r="C31" s="37" t="inlineStr">
        <is>
          <t>De Villiers</t>
        </is>
      </c>
      <c r="D31" s="37" t="inlineStr">
        <is>
          <t>Phase 1</t>
        </is>
      </c>
      <c r="E31" s="37" t="inlineStr">
        <is>
          <t>Not Started</t>
        </is>
      </c>
      <c r="F31" s="37" t="inlineStr"/>
      <c r="G31" s="34" t="n"/>
      <c r="H31" s="35" t="n"/>
      <c r="I31" s="34" t="n"/>
      <c r="J31" s="35" t="n"/>
      <c r="K31" s="34" t="n"/>
      <c r="L31" s="38" t="n"/>
      <c r="M31" s="38" t="n"/>
      <c r="N31" s="38" t="n"/>
      <c r="O31" s="34" t="n"/>
      <c r="P31" s="35" t="n"/>
      <c r="Q31" s="34" t="n"/>
      <c r="R31" s="35" t="n"/>
      <c r="S31" s="34" t="n"/>
      <c r="T31" s="35" t="n"/>
      <c r="U31" s="34" t="n"/>
      <c r="V31" s="35" t="n"/>
      <c r="W31" s="34" t="n"/>
      <c r="X31" s="35" t="n"/>
      <c r="Y31" s="34" t="n"/>
      <c r="Z31" s="35" t="n"/>
      <c r="AA31" s="34" t="n"/>
      <c r="AB31" s="35" t="n"/>
      <c r="AC31" s="34" t="n"/>
      <c r="AD31" s="35" t="n"/>
      <c r="AE31" s="34" t="n"/>
      <c r="AF31" s="35" t="n"/>
      <c r="AG31" s="34" t="n"/>
      <c r="AH31" s="35" t="n"/>
      <c r="AI31" s="34" t="n"/>
      <c r="AJ31" s="35" t="n"/>
      <c r="AK31" s="34" t="n"/>
      <c r="AL31" s="35" t="n"/>
      <c r="AM31" s="34" t="n"/>
      <c r="AN31" s="35" t="n"/>
      <c r="AO31" s="34" t="n"/>
      <c r="AP31" s="35" t="n"/>
      <c r="AQ31" s="34" t="n"/>
      <c r="AR31" s="35" t="n"/>
      <c r="AS31" s="34" t="n"/>
      <c r="AT31" s="35" t="n"/>
      <c r="AU31" s="34" t="n"/>
      <c r="AV31" s="35" t="n"/>
      <c r="AW31" s="34" t="n"/>
      <c r="AX31" s="35" t="n"/>
      <c r="AY31" s="34" t="n"/>
      <c r="AZ31" s="35" t="n"/>
      <c r="BA31" s="34" t="n"/>
      <c r="BB31" s="35" t="n"/>
      <c r="BC31" s="34" t="n"/>
      <c r="BD31" s="35" t="n"/>
      <c r="BE31" s="34" t="n"/>
      <c r="BF31" s="35" t="n"/>
    </row>
    <row r="32" ht="30" customHeight="1">
      <c r="A32" s="36" t="inlineStr">
        <is>
          <t>28</t>
        </is>
      </c>
      <c r="B32" s="8" t="inlineStr">
        <is>
          <t>Launch own outbound for client acquisition (post-warming)</t>
        </is>
      </c>
      <c r="C32" s="36" t="inlineStr">
        <is>
          <t>Instantly (auto)</t>
        </is>
      </c>
      <c r="D32" s="36" t="inlineStr">
        <is>
          <t>Phase 1</t>
        </is>
      </c>
      <c r="E32" s="36" t="inlineStr">
        <is>
          <t>Not Started</t>
        </is>
      </c>
      <c r="F32" s="36" t="inlineStr">
        <is>
          <t>V2 guarantee messaging in own sequences</t>
        </is>
      </c>
      <c r="G32" s="34" t="n"/>
      <c r="H32" s="35" t="n"/>
      <c r="I32" s="34" t="n"/>
      <c r="J32" s="35" t="n"/>
      <c r="K32" s="33" t="n"/>
      <c r="L32" s="33" t="n"/>
      <c r="M32" s="33" t="n"/>
      <c r="N32" s="33" t="n"/>
      <c r="O32" s="34" t="n"/>
      <c r="P32" s="35" t="n"/>
      <c r="Q32" s="34" t="n"/>
      <c r="R32" s="35" t="n"/>
      <c r="S32" s="34" t="n"/>
      <c r="T32" s="35" t="n"/>
      <c r="U32" s="34" t="n"/>
      <c r="V32" s="35" t="n"/>
      <c r="W32" s="34" t="n"/>
      <c r="X32" s="35" t="n"/>
      <c r="Y32" s="34" t="n"/>
      <c r="Z32" s="35" t="n"/>
      <c r="AA32" s="34" t="n"/>
      <c r="AB32" s="35" t="n"/>
      <c r="AC32" s="34" t="n"/>
      <c r="AD32" s="35" t="n"/>
      <c r="AE32" s="34" t="n"/>
      <c r="AF32" s="35" t="n"/>
      <c r="AG32" s="34" t="n"/>
      <c r="AH32" s="35" t="n"/>
      <c r="AI32" s="34" t="n"/>
      <c r="AJ32" s="35" t="n"/>
      <c r="AK32" s="34" t="n"/>
      <c r="AL32" s="35" t="n"/>
      <c r="AM32" s="34" t="n"/>
      <c r="AN32" s="35" t="n"/>
      <c r="AO32" s="34" t="n"/>
      <c r="AP32" s="35" t="n"/>
      <c r="AQ32" s="34" t="n"/>
      <c r="AR32" s="35" t="n"/>
      <c r="AS32" s="34" t="n"/>
      <c r="AT32" s="35" t="n"/>
      <c r="AU32" s="34" t="n"/>
      <c r="AV32" s="35" t="n"/>
      <c r="AW32" s="34" t="n"/>
      <c r="AX32" s="35" t="n"/>
      <c r="AY32" s="34" t="n"/>
      <c r="AZ32" s="35" t="n"/>
      <c r="BA32" s="34" t="n"/>
      <c r="BB32" s="35" t="n"/>
      <c r="BC32" s="34" t="n"/>
      <c r="BD32" s="35" t="n"/>
      <c r="BE32" s="34" t="n"/>
      <c r="BF32" s="35" t="n"/>
    </row>
    <row r="33" ht="30" customHeight="1">
      <c r="A33" s="39" t="inlineStr">
        <is>
          <t>29</t>
        </is>
      </c>
      <c r="B33" s="40" t="inlineStr">
        <is>
          <t>MILESTONE: First 5 paying clients signed</t>
        </is>
      </c>
      <c r="C33" s="39" t="inlineStr">
        <is>
          <t>De Villiers</t>
        </is>
      </c>
      <c r="D33" s="39" t="inlineStr">
        <is>
          <t>Phase 1</t>
        </is>
      </c>
      <c r="E33" s="39" t="inlineStr">
        <is>
          <t>Not Started</t>
        </is>
      </c>
      <c r="F33" s="39" t="inlineStr">
        <is>
          <t>Target: end of Week 8</t>
        </is>
      </c>
      <c r="G33" s="34" t="n"/>
      <c r="H33" s="35" t="n"/>
      <c r="I33" s="34" t="n"/>
      <c r="J33" s="35" t="n"/>
      <c r="K33" s="34" t="n"/>
      <c r="L33" s="35" t="n"/>
      <c r="M33" s="34" t="n"/>
      <c r="N33" s="41" t="n"/>
      <c r="O33" s="34" t="n"/>
      <c r="P33" s="35" t="n"/>
      <c r="Q33" s="34" t="n"/>
      <c r="R33" s="35" t="n"/>
      <c r="S33" s="34" t="n"/>
      <c r="T33" s="35" t="n"/>
      <c r="U33" s="34" t="n"/>
      <c r="V33" s="35" t="n"/>
      <c r="W33" s="34" t="n"/>
      <c r="X33" s="35" t="n"/>
      <c r="Y33" s="34" t="n"/>
      <c r="Z33" s="35" t="n"/>
      <c r="AA33" s="34" t="n"/>
      <c r="AB33" s="35" t="n"/>
      <c r="AC33" s="34" t="n"/>
      <c r="AD33" s="35" t="n"/>
      <c r="AE33" s="34" t="n"/>
      <c r="AF33" s="35" t="n"/>
      <c r="AG33" s="34" t="n"/>
      <c r="AH33" s="35" t="n"/>
      <c r="AI33" s="34" t="n"/>
      <c r="AJ33" s="35" t="n"/>
      <c r="AK33" s="34" t="n"/>
      <c r="AL33" s="35" t="n"/>
      <c r="AM33" s="34" t="n"/>
      <c r="AN33" s="35" t="n"/>
      <c r="AO33" s="34" t="n"/>
      <c r="AP33" s="35" t="n"/>
      <c r="AQ33" s="34" t="n"/>
      <c r="AR33" s="35" t="n"/>
      <c r="AS33" s="34" t="n"/>
      <c r="AT33" s="35" t="n"/>
      <c r="AU33" s="34" t="n"/>
      <c r="AV33" s="35" t="n"/>
      <c r="AW33" s="34" t="n"/>
      <c r="AX33" s="35" t="n"/>
      <c r="AY33" s="34" t="n"/>
      <c r="AZ33" s="35" t="n"/>
      <c r="BA33" s="34" t="n"/>
      <c r="BB33" s="35" t="n"/>
      <c r="BC33" s="34" t="n"/>
      <c r="BD33" s="35" t="n"/>
      <c r="BE33" s="34" t="n"/>
      <c r="BF33" s="35" t="n"/>
    </row>
    <row r="34">
      <c r="A34" s="42" t="inlineStr">
        <is>
          <t>PHASE 2: TRACTION — Prove the V2 Guarantee Model (Weeks 9-16)</t>
        </is>
      </c>
    </row>
    <row r="35" ht="30" customHeight="1">
      <c r="A35" s="36" t="inlineStr">
        <is>
          <t>30</t>
        </is>
      </c>
      <c r="B35" s="8" t="inlineStr">
        <is>
          <t>Launch V2 campaigns for first 5 clients (Instantly + Expandi)</t>
        </is>
      </c>
      <c r="C35" s="36" t="inlineStr">
        <is>
          <t>De Villiers</t>
        </is>
      </c>
      <c r="D35" s="36" t="inlineStr">
        <is>
          <t>Phase 2</t>
        </is>
      </c>
      <c r="E35" s="36" t="inlineStr">
        <is>
          <t>Not Started</t>
        </is>
      </c>
      <c r="F35" s="36" t="inlineStr"/>
      <c r="G35" s="34" t="n"/>
      <c r="H35" s="35" t="n"/>
      <c r="I35" s="34" t="n"/>
      <c r="J35" s="35" t="n"/>
      <c r="K35" s="34" t="n"/>
      <c r="L35" s="35" t="n"/>
      <c r="M35" s="34" t="n"/>
      <c r="N35" s="35" t="n"/>
      <c r="O35" s="33" t="n"/>
      <c r="P35" s="33" t="n"/>
      <c r="Q35" s="33" t="n"/>
      <c r="R35" s="33" t="n"/>
      <c r="S35" s="34" t="n"/>
      <c r="T35" s="35" t="n"/>
      <c r="U35" s="34" t="n"/>
      <c r="V35" s="35" t="n"/>
      <c r="W35" s="34" t="n"/>
      <c r="X35" s="35" t="n"/>
      <c r="Y35" s="34" t="n"/>
      <c r="Z35" s="35" t="n"/>
      <c r="AA35" s="34" t="n"/>
      <c r="AB35" s="35" t="n"/>
      <c r="AC35" s="34" t="n"/>
      <c r="AD35" s="35" t="n"/>
      <c r="AE35" s="34" t="n"/>
      <c r="AF35" s="35" t="n"/>
      <c r="AG35" s="34" t="n"/>
      <c r="AH35" s="35" t="n"/>
      <c r="AI35" s="34" t="n"/>
      <c r="AJ35" s="35" t="n"/>
      <c r="AK35" s="34" t="n"/>
      <c r="AL35" s="35" t="n"/>
      <c r="AM35" s="34" t="n"/>
      <c r="AN35" s="35" t="n"/>
      <c r="AO35" s="34" t="n"/>
      <c r="AP35" s="35" t="n"/>
      <c r="AQ35" s="34" t="n"/>
      <c r="AR35" s="35" t="n"/>
      <c r="AS35" s="34" t="n"/>
      <c r="AT35" s="35" t="n"/>
      <c r="AU35" s="34" t="n"/>
      <c r="AV35" s="35" t="n"/>
      <c r="AW35" s="34" t="n"/>
      <c r="AX35" s="35" t="n"/>
      <c r="AY35" s="34" t="n"/>
      <c r="AZ35" s="35" t="n"/>
      <c r="BA35" s="34" t="n"/>
      <c r="BB35" s="35" t="n"/>
      <c r="BC35" s="34" t="n"/>
      <c r="BD35" s="35" t="n"/>
      <c r="BE35" s="34" t="n"/>
      <c r="BF35" s="35" t="n"/>
    </row>
    <row r="36" ht="30" customHeight="1">
      <c r="A36" s="37" t="inlineStr">
        <is>
          <t>31</t>
        </is>
      </c>
      <c r="B36" s="30" t="inlineStr">
        <is>
          <t>APPROVAL GATE: Review each client campaign before launch</t>
        </is>
      </c>
      <c r="C36" s="37" t="inlineStr">
        <is>
          <t>De Villiers</t>
        </is>
      </c>
      <c r="D36" s="37" t="inlineStr">
        <is>
          <t>Phase 2</t>
        </is>
      </c>
      <c r="E36" s="37" t="inlineStr">
        <is>
          <t>Not Started</t>
        </is>
      </c>
      <c r="F36" s="37" t="inlineStr">
        <is>
          <t>Non-negotiable — first campaigns for each client</t>
        </is>
      </c>
      <c r="G36" s="34" t="n"/>
      <c r="H36" s="35" t="n"/>
      <c r="I36" s="34" t="n"/>
      <c r="J36" s="35" t="n"/>
      <c r="K36" s="34" t="n"/>
      <c r="L36" s="35" t="n"/>
      <c r="M36" s="34" t="n"/>
      <c r="N36" s="35" t="n"/>
      <c r="O36" s="38" t="n"/>
      <c r="P36" s="38" t="n"/>
      <c r="Q36" s="34" t="n"/>
      <c r="R36" s="35" t="n"/>
      <c r="S36" s="34" t="n"/>
      <c r="T36" s="35" t="n"/>
      <c r="U36" s="34" t="n"/>
      <c r="V36" s="35" t="n"/>
      <c r="W36" s="34" t="n"/>
      <c r="X36" s="35" t="n"/>
      <c r="Y36" s="34" t="n"/>
      <c r="Z36" s="35" t="n"/>
      <c r="AA36" s="34" t="n"/>
      <c r="AB36" s="35" t="n"/>
      <c r="AC36" s="34" t="n"/>
      <c r="AD36" s="35" t="n"/>
      <c r="AE36" s="34" t="n"/>
      <c r="AF36" s="35" t="n"/>
      <c r="AG36" s="34" t="n"/>
      <c r="AH36" s="35" t="n"/>
      <c r="AI36" s="34" t="n"/>
      <c r="AJ36" s="35" t="n"/>
      <c r="AK36" s="34" t="n"/>
      <c r="AL36" s="35" t="n"/>
      <c r="AM36" s="34" t="n"/>
      <c r="AN36" s="35" t="n"/>
      <c r="AO36" s="34" t="n"/>
      <c r="AP36" s="35" t="n"/>
      <c r="AQ36" s="34" t="n"/>
      <c r="AR36" s="35" t="n"/>
      <c r="AS36" s="34" t="n"/>
      <c r="AT36" s="35" t="n"/>
      <c r="AU36" s="34" t="n"/>
      <c r="AV36" s="35" t="n"/>
      <c r="AW36" s="34" t="n"/>
      <c r="AX36" s="35" t="n"/>
      <c r="AY36" s="34" t="n"/>
      <c r="AZ36" s="35" t="n"/>
      <c r="BA36" s="34" t="n"/>
      <c r="BB36" s="35" t="n"/>
      <c r="BC36" s="34" t="n"/>
      <c r="BD36" s="35" t="n"/>
      <c r="BE36" s="34" t="n"/>
      <c r="BF36" s="35" t="n"/>
    </row>
    <row r="37" ht="30" customHeight="1">
      <c r="A37" s="36" t="inlineStr">
        <is>
          <t>32</t>
        </is>
      </c>
      <c r="B37" s="8" t="inlineStr">
        <is>
          <t>Daily response triage (Instantly + LinkedIn unified inbox)</t>
        </is>
      </c>
      <c r="C37" s="36" t="inlineStr">
        <is>
          <t>De Villiers</t>
        </is>
      </c>
      <c r="D37" s="36" t="inlineStr">
        <is>
          <t>Phase 2</t>
        </is>
      </c>
      <c r="E37" s="36" t="inlineStr">
        <is>
          <t>Not Started</t>
        </is>
      </c>
      <c r="F37" s="36" t="inlineStr">
        <is>
          <t>VA takes over from Month 4</t>
        </is>
      </c>
      <c r="G37" s="34" t="n"/>
      <c r="H37" s="35" t="n"/>
      <c r="I37" s="34" t="n"/>
      <c r="J37" s="35" t="n"/>
      <c r="K37" s="34" t="n"/>
      <c r="L37" s="35" t="n"/>
      <c r="M37" s="34" t="n"/>
      <c r="N37" s="35" t="n"/>
      <c r="O37" s="33" t="n"/>
      <c r="P37" s="33" t="n"/>
      <c r="Q37" s="33" t="n"/>
      <c r="R37" s="33" t="n"/>
      <c r="S37" s="33" t="n"/>
      <c r="T37" s="33" t="n"/>
      <c r="U37" s="33" t="n"/>
      <c r="V37" s="33" t="n"/>
      <c r="W37" s="34" t="n"/>
      <c r="X37" s="35" t="n"/>
      <c r="Y37" s="34" t="n"/>
      <c r="Z37" s="35" t="n"/>
      <c r="AA37" s="34" t="n"/>
      <c r="AB37" s="35" t="n"/>
      <c r="AC37" s="34" t="n"/>
      <c r="AD37" s="35" t="n"/>
      <c r="AE37" s="34" t="n"/>
      <c r="AF37" s="35" t="n"/>
      <c r="AG37" s="34" t="n"/>
      <c r="AH37" s="35" t="n"/>
      <c r="AI37" s="34" t="n"/>
      <c r="AJ37" s="35" t="n"/>
      <c r="AK37" s="34" t="n"/>
      <c r="AL37" s="35" t="n"/>
      <c r="AM37" s="34" t="n"/>
      <c r="AN37" s="35" t="n"/>
      <c r="AO37" s="34" t="n"/>
      <c r="AP37" s="35" t="n"/>
      <c r="AQ37" s="34" t="n"/>
      <c r="AR37" s="35" t="n"/>
      <c r="AS37" s="34" t="n"/>
      <c r="AT37" s="35" t="n"/>
      <c r="AU37" s="34" t="n"/>
      <c r="AV37" s="35" t="n"/>
      <c r="AW37" s="34" t="n"/>
      <c r="AX37" s="35" t="n"/>
      <c r="AY37" s="34" t="n"/>
      <c r="AZ37" s="35" t="n"/>
      <c r="BA37" s="34" t="n"/>
      <c r="BB37" s="35" t="n"/>
      <c r="BC37" s="34" t="n"/>
      <c r="BD37" s="35" t="n"/>
      <c r="BE37" s="34" t="n"/>
      <c r="BF37" s="35" t="n"/>
    </row>
    <row r="38" ht="30" customHeight="1">
      <c r="A38" s="32" t="inlineStr">
        <is>
          <t>33</t>
        </is>
      </c>
      <c r="B38" s="14" t="inlineStr">
        <is>
          <t>Polsia nightly campaign analysis + optimisation suggestions</t>
        </is>
      </c>
      <c r="C38" s="32" t="inlineStr">
        <is>
          <t>Polsia</t>
        </is>
      </c>
      <c r="D38" s="32" t="inlineStr">
        <is>
          <t>Phase 2</t>
        </is>
      </c>
      <c r="E38" s="32" t="inlineStr">
        <is>
          <t>Not Started</t>
        </is>
      </c>
      <c r="F38" s="32" t="inlineStr"/>
      <c r="G38" s="34" t="n"/>
      <c r="H38" s="35" t="n"/>
      <c r="I38" s="34" t="n"/>
      <c r="J38" s="35" t="n"/>
      <c r="K38" s="34" t="n"/>
      <c r="L38" s="35" t="n"/>
      <c r="M38" s="34" t="n"/>
      <c r="N38" s="35" t="n"/>
      <c r="O38" s="33" t="n"/>
      <c r="P38" s="33" t="n"/>
      <c r="Q38" s="33" t="n"/>
      <c r="R38" s="33" t="n"/>
      <c r="S38" s="33" t="n"/>
      <c r="T38" s="33" t="n"/>
      <c r="U38" s="33" t="n"/>
      <c r="V38" s="33" t="n"/>
      <c r="W38" s="34" t="n"/>
      <c r="X38" s="35" t="n"/>
      <c r="Y38" s="34" t="n"/>
      <c r="Z38" s="35" t="n"/>
      <c r="AA38" s="34" t="n"/>
      <c r="AB38" s="35" t="n"/>
      <c r="AC38" s="34" t="n"/>
      <c r="AD38" s="35" t="n"/>
      <c r="AE38" s="34" t="n"/>
      <c r="AF38" s="35" t="n"/>
      <c r="AG38" s="34" t="n"/>
      <c r="AH38" s="35" t="n"/>
      <c r="AI38" s="34" t="n"/>
      <c r="AJ38" s="35" t="n"/>
      <c r="AK38" s="34" t="n"/>
      <c r="AL38" s="35" t="n"/>
      <c r="AM38" s="34" t="n"/>
      <c r="AN38" s="35" t="n"/>
      <c r="AO38" s="34" t="n"/>
      <c r="AP38" s="35" t="n"/>
      <c r="AQ38" s="34" t="n"/>
      <c r="AR38" s="35" t="n"/>
      <c r="AS38" s="34" t="n"/>
      <c r="AT38" s="35" t="n"/>
      <c r="AU38" s="34" t="n"/>
      <c r="AV38" s="35" t="n"/>
      <c r="AW38" s="34" t="n"/>
      <c r="AX38" s="35" t="n"/>
      <c r="AY38" s="34" t="n"/>
      <c r="AZ38" s="35" t="n"/>
      <c r="BA38" s="34" t="n"/>
      <c r="BB38" s="35" t="n"/>
      <c r="BC38" s="34" t="n"/>
      <c r="BD38" s="35" t="n"/>
      <c r="BE38" s="34" t="n"/>
      <c r="BF38" s="35" t="n"/>
    </row>
    <row r="39" ht="30" customHeight="1">
      <c r="A39" s="37" t="inlineStr">
        <is>
          <t>34</t>
        </is>
      </c>
      <c r="B39" s="30" t="inlineStr">
        <is>
          <t>APPROVAL GATE: De Villiers reviews Polsia optimisation suggestions weekly</t>
        </is>
      </c>
      <c r="C39" s="37" t="inlineStr">
        <is>
          <t>De Villiers</t>
        </is>
      </c>
      <c r="D39" s="37" t="inlineStr">
        <is>
          <t>Phase 2</t>
        </is>
      </c>
      <c r="E39" s="37" t="inlineStr">
        <is>
          <t>Not Started</t>
        </is>
      </c>
      <c r="F39" s="37" t="inlineStr">
        <is>
          <t>Every week — implement approved changes only</t>
        </is>
      </c>
      <c r="G39" s="34" t="n"/>
      <c r="H39" s="35" t="n"/>
      <c r="I39" s="34" t="n"/>
      <c r="J39" s="35" t="n"/>
      <c r="K39" s="34" t="n"/>
      <c r="L39" s="35" t="n"/>
      <c r="M39" s="34" t="n"/>
      <c r="N39" s="35" t="n"/>
      <c r="O39" s="38" t="n"/>
      <c r="P39" s="38" t="n"/>
      <c r="Q39" s="38" t="n"/>
      <c r="R39" s="38" t="n"/>
      <c r="S39" s="38" t="n"/>
      <c r="T39" s="38" t="n"/>
      <c r="U39" s="38" t="n"/>
      <c r="V39" s="38" t="n"/>
      <c r="W39" s="34" t="n"/>
      <c r="X39" s="35" t="n"/>
      <c r="Y39" s="34" t="n"/>
      <c r="Z39" s="35" t="n"/>
      <c r="AA39" s="34" t="n"/>
      <c r="AB39" s="35" t="n"/>
      <c r="AC39" s="34" t="n"/>
      <c r="AD39" s="35" t="n"/>
      <c r="AE39" s="34" t="n"/>
      <c r="AF39" s="35" t="n"/>
      <c r="AG39" s="34" t="n"/>
      <c r="AH39" s="35" t="n"/>
      <c r="AI39" s="34" t="n"/>
      <c r="AJ39" s="35" t="n"/>
      <c r="AK39" s="34" t="n"/>
      <c r="AL39" s="35" t="n"/>
      <c r="AM39" s="34" t="n"/>
      <c r="AN39" s="35" t="n"/>
      <c r="AO39" s="34" t="n"/>
      <c r="AP39" s="35" t="n"/>
      <c r="AQ39" s="34" t="n"/>
      <c r="AR39" s="35" t="n"/>
      <c r="AS39" s="34" t="n"/>
      <c r="AT39" s="35" t="n"/>
      <c r="AU39" s="34" t="n"/>
      <c r="AV39" s="35" t="n"/>
      <c r="AW39" s="34" t="n"/>
      <c r="AX39" s="35" t="n"/>
      <c r="AY39" s="34" t="n"/>
      <c r="AZ39" s="35" t="n"/>
      <c r="BA39" s="34" t="n"/>
      <c r="BB39" s="35" t="n"/>
      <c r="BC39" s="34" t="n"/>
      <c r="BD39" s="35" t="n"/>
      <c r="BE39" s="34" t="n"/>
      <c r="BF39" s="35" t="n"/>
    </row>
    <row r="40" ht="30" customHeight="1">
      <c r="A40" s="32" t="inlineStr">
        <is>
          <t>35</t>
        </is>
      </c>
      <c r="B40" s="14" t="inlineStr">
        <is>
          <t>A/B test sequences (implement in Instantly, not Polsia)</t>
        </is>
      </c>
      <c r="C40" s="32" t="inlineStr">
        <is>
          <t>De Villiers</t>
        </is>
      </c>
      <c r="D40" s="32" t="inlineStr">
        <is>
          <t>Phase 2</t>
        </is>
      </c>
      <c r="E40" s="32" t="inlineStr">
        <is>
          <t>Not Started</t>
        </is>
      </c>
      <c r="F40" s="32" t="inlineStr"/>
      <c r="G40" s="34" t="n"/>
      <c r="H40" s="35" t="n"/>
      <c r="I40" s="34" t="n"/>
      <c r="J40" s="35" t="n"/>
      <c r="K40" s="34" t="n"/>
      <c r="L40" s="35" t="n"/>
      <c r="M40" s="34" t="n"/>
      <c r="N40" s="35" t="n"/>
      <c r="O40" s="34" t="n"/>
      <c r="P40" s="33" t="n"/>
      <c r="Q40" s="33" t="n"/>
      <c r="R40" s="33" t="n"/>
      <c r="S40" s="33" t="n"/>
      <c r="T40" s="33" t="n"/>
      <c r="U40" s="33" t="n"/>
      <c r="V40" s="33" t="n"/>
      <c r="W40" s="34" t="n"/>
      <c r="X40" s="35" t="n"/>
      <c r="Y40" s="34" t="n"/>
      <c r="Z40" s="35" t="n"/>
      <c r="AA40" s="34" t="n"/>
      <c r="AB40" s="35" t="n"/>
      <c r="AC40" s="34" t="n"/>
      <c r="AD40" s="35" t="n"/>
      <c r="AE40" s="34" t="n"/>
      <c r="AF40" s="35" t="n"/>
      <c r="AG40" s="34" t="n"/>
      <c r="AH40" s="35" t="n"/>
      <c r="AI40" s="34" t="n"/>
      <c r="AJ40" s="35" t="n"/>
      <c r="AK40" s="34" t="n"/>
      <c r="AL40" s="35" t="n"/>
      <c r="AM40" s="34" t="n"/>
      <c r="AN40" s="35" t="n"/>
      <c r="AO40" s="34" t="n"/>
      <c r="AP40" s="35" t="n"/>
      <c r="AQ40" s="34" t="n"/>
      <c r="AR40" s="35" t="n"/>
      <c r="AS40" s="34" t="n"/>
      <c r="AT40" s="35" t="n"/>
      <c r="AU40" s="34" t="n"/>
      <c r="AV40" s="35" t="n"/>
      <c r="AW40" s="34" t="n"/>
      <c r="AX40" s="35" t="n"/>
      <c r="AY40" s="34" t="n"/>
      <c r="AZ40" s="35" t="n"/>
      <c r="BA40" s="34" t="n"/>
      <c r="BB40" s="35" t="n"/>
      <c r="BC40" s="34" t="n"/>
      <c r="BD40" s="35" t="n"/>
      <c r="BE40" s="34" t="n"/>
      <c r="BF40" s="35" t="n"/>
    </row>
    <row r="41" ht="30" customHeight="1">
      <c r="A41" s="36" t="inlineStr">
        <is>
          <t>36</t>
        </is>
      </c>
      <c r="B41" s="8" t="inlineStr">
        <is>
          <t>Publish 2 blog posts/week (Polsia drafts, De Villiers approves)</t>
        </is>
      </c>
      <c r="C41" s="36" t="inlineStr">
        <is>
          <t>De Villiers + Polsia</t>
        </is>
      </c>
      <c r="D41" s="36" t="inlineStr">
        <is>
          <t>Phase 2</t>
        </is>
      </c>
      <c r="E41" s="36" t="inlineStr">
        <is>
          <t>Not Started</t>
        </is>
      </c>
      <c r="F41" s="36" t="inlineStr"/>
      <c r="G41" s="34" t="n"/>
      <c r="H41" s="35" t="n"/>
      <c r="I41" s="34" t="n"/>
      <c r="J41" s="35" t="n"/>
      <c r="K41" s="34" t="n"/>
      <c r="L41" s="35" t="n"/>
      <c r="M41" s="34" t="n"/>
      <c r="N41" s="35" t="n"/>
      <c r="O41" s="33" t="n"/>
      <c r="P41" s="33" t="n"/>
      <c r="Q41" s="33" t="n"/>
      <c r="R41" s="33" t="n"/>
      <c r="S41" s="33" t="n"/>
      <c r="T41" s="33" t="n"/>
      <c r="U41" s="33" t="n"/>
      <c r="V41" s="33" t="n"/>
      <c r="W41" s="34" t="n"/>
      <c r="X41" s="35" t="n"/>
      <c r="Y41" s="34" t="n"/>
      <c r="Z41" s="35" t="n"/>
      <c r="AA41" s="34" t="n"/>
      <c r="AB41" s="35" t="n"/>
      <c r="AC41" s="34" t="n"/>
      <c r="AD41" s="35" t="n"/>
      <c r="AE41" s="34" t="n"/>
      <c r="AF41" s="35" t="n"/>
      <c r="AG41" s="34" t="n"/>
      <c r="AH41" s="35" t="n"/>
      <c r="AI41" s="34" t="n"/>
      <c r="AJ41" s="35" t="n"/>
      <c r="AK41" s="34" t="n"/>
      <c r="AL41" s="35" t="n"/>
      <c r="AM41" s="34" t="n"/>
      <c r="AN41" s="35" t="n"/>
      <c r="AO41" s="34" t="n"/>
      <c r="AP41" s="35" t="n"/>
      <c r="AQ41" s="34" t="n"/>
      <c r="AR41" s="35" t="n"/>
      <c r="AS41" s="34" t="n"/>
      <c r="AT41" s="35" t="n"/>
      <c r="AU41" s="34" t="n"/>
      <c r="AV41" s="35" t="n"/>
      <c r="AW41" s="34" t="n"/>
      <c r="AX41" s="35" t="n"/>
      <c r="AY41" s="34" t="n"/>
      <c r="AZ41" s="35" t="n"/>
      <c r="BA41" s="34" t="n"/>
      <c r="BB41" s="35" t="n"/>
      <c r="BC41" s="34" t="n"/>
      <c r="BD41" s="35" t="n"/>
      <c r="BE41" s="34" t="n"/>
      <c r="BF41" s="35" t="n"/>
    </row>
    <row r="42" ht="30" customHeight="1">
      <c r="A42" s="32" t="inlineStr">
        <is>
          <t>37</t>
        </is>
      </c>
      <c r="B42" s="14" t="inlineStr">
        <is>
          <t>Daily LinkedIn thought leadership (personal account)</t>
        </is>
      </c>
      <c r="C42" s="32" t="inlineStr">
        <is>
          <t>De Villiers</t>
        </is>
      </c>
      <c r="D42" s="32" t="inlineStr">
        <is>
          <t>Phase 2</t>
        </is>
      </c>
      <c r="E42" s="32" t="inlineStr">
        <is>
          <t>Not Started</t>
        </is>
      </c>
      <c r="F42" s="32" t="inlineStr">
        <is>
          <t>Build personal brand as guarantee-led growth expert</t>
        </is>
      </c>
      <c r="G42" s="34" t="n"/>
      <c r="H42" s="35" t="n"/>
      <c r="I42" s="34" t="n"/>
      <c r="J42" s="35" t="n"/>
      <c r="K42" s="34" t="n"/>
      <c r="L42" s="35" t="n"/>
      <c r="M42" s="34" t="n"/>
      <c r="N42" s="35" t="n"/>
      <c r="O42" s="33" t="n"/>
      <c r="P42" s="33" t="n"/>
      <c r="Q42" s="33" t="n"/>
      <c r="R42" s="33" t="n"/>
      <c r="S42" s="33" t="n"/>
      <c r="T42" s="33" t="n"/>
      <c r="U42" s="33" t="n"/>
      <c r="V42" s="33" t="n"/>
      <c r="W42" s="34" t="n"/>
      <c r="X42" s="35" t="n"/>
      <c r="Y42" s="34" t="n"/>
      <c r="Z42" s="35" t="n"/>
      <c r="AA42" s="34" t="n"/>
      <c r="AB42" s="35" t="n"/>
      <c r="AC42" s="34" t="n"/>
      <c r="AD42" s="35" t="n"/>
      <c r="AE42" s="34" t="n"/>
      <c r="AF42" s="35" t="n"/>
      <c r="AG42" s="34" t="n"/>
      <c r="AH42" s="35" t="n"/>
      <c r="AI42" s="34" t="n"/>
      <c r="AJ42" s="35" t="n"/>
      <c r="AK42" s="34" t="n"/>
      <c r="AL42" s="35" t="n"/>
      <c r="AM42" s="34" t="n"/>
      <c r="AN42" s="35" t="n"/>
      <c r="AO42" s="34" t="n"/>
      <c r="AP42" s="35" t="n"/>
      <c r="AQ42" s="34" t="n"/>
      <c r="AR42" s="35" t="n"/>
      <c r="AS42" s="34" t="n"/>
      <c r="AT42" s="35" t="n"/>
      <c r="AU42" s="34" t="n"/>
      <c r="AV42" s="35" t="n"/>
      <c r="AW42" s="34" t="n"/>
      <c r="AX42" s="35" t="n"/>
      <c r="AY42" s="34" t="n"/>
      <c r="AZ42" s="35" t="n"/>
      <c r="BA42" s="34" t="n"/>
      <c r="BB42" s="35" t="n"/>
      <c r="BC42" s="34" t="n"/>
      <c r="BD42" s="35" t="n"/>
      <c r="BE42" s="34" t="n"/>
      <c r="BF42" s="35" t="n"/>
    </row>
    <row r="43" ht="30" customHeight="1">
      <c r="A43" s="36" t="inlineStr">
        <is>
          <t>38</t>
        </is>
      </c>
      <c r="B43" s="8" t="inlineStr">
        <is>
          <t>Build first 2 case studies from pilot clients (metrics-led)</t>
        </is>
      </c>
      <c r="C43" s="36" t="inlineStr">
        <is>
          <t>De Villiers</t>
        </is>
      </c>
      <c r="D43" s="36" t="inlineStr">
        <is>
          <t>Phase 2</t>
        </is>
      </c>
      <c r="E43" s="36" t="inlineStr">
        <is>
          <t>Not Started</t>
        </is>
      </c>
      <c r="F43" s="36" t="inlineStr">
        <is>
          <t>Include guarantee delivery stats</t>
        </is>
      </c>
      <c r="G43" s="34" t="n"/>
      <c r="H43" s="35" t="n"/>
      <c r="I43" s="34" t="n"/>
      <c r="J43" s="35" t="n"/>
      <c r="K43" s="34" t="n"/>
      <c r="L43" s="35" t="n"/>
      <c r="M43" s="34" t="n"/>
      <c r="N43" s="35" t="n"/>
      <c r="O43" s="34" t="n"/>
      <c r="P43" s="35" t="n"/>
      <c r="Q43" s="34" t="n"/>
      <c r="R43" s="33" t="n"/>
      <c r="S43" s="33" t="n"/>
      <c r="T43" s="33" t="n"/>
      <c r="U43" s="33" t="n"/>
      <c r="V43" s="33" t="n"/>
      <c r="W43" s="34" t="n"/>
      <c r="X43" s="35" t="n"/>
      <c r="Y43" s="34" t="n"/>
      <c r="Z43" s="35" t="n"/>
      <c r="AA43" s="34" t="n"/>
      <c r="AB43" s="35" t="n"/>
      <c r="AC43" s="34" t="n"/>
      <c r="AD43" s="35" t="n"/>
      <c r="AE43" s="34" t="n"/>
      <c r="AF43" s="35" t="n"/>
      <c r="AG43" s="34" t="n"/>
      <c r="AH43" s="35" t="n"/>
      <c r="AI43" s="34" t="n"/>
      <c r="AJ43" s="35" t="n"/>
      <c r="AK43" s="34" t="n"/>
      <c r="AL43" s="35" t="n"/>
      <c r="AM43" s="34" t="n"/>
      <c r="AN43" s="35" t="n"/>
      <c r="AO43" s="34" t="n"/>
      <c r="AP43" s="35" t="n"/>
      <c r="AQ43" s="34" t="n"/>
      <c r="AR43" s="35" t="n"/>
      <c r="AS43" s="34" t="n"/>
      <c r="AT43" s="35" t="n"/>
      <c r="AU43" s="34" t="n"/>
      <c r="AV43" s="35" t="n"/>
      <c r="AW43" s="34" t="n"/>
      <c r="AX43" s="35" t="n"/>
      <c r="AY43" s="34" t="n"/>
      <c r="AZ43" s="35" t="n"/>
      <c r="BA43" s="34" t="n"/>
      <c r="BB43" s="35" t="n"/>
      <c r="BC43" s="34" t="n"/>
      <c r="BD43" s="35" t="n"/>
      <c r="BE43" s="34" t="n"/>
      <c r="BF43" s="35" t="n"/>
    </row>
    <row r="44" ht="30" customHeight="1">
      <c r="A44" s="32" t="inlineStr">
        <is>
          <t>39</t>
        </is>
      </c>
      <c r="B44" s="14" t="inlineStr">
        <is>
          <t>Create lead magnets (ICP Template, AI Playbook, Guarantee Calculator)</t>
        </is>
      </c>
      <c r="C44" s="32" t="inlineStr">
        <is>
          <t>De Villiers + Polsia</t>
        </is>
      </c>
      <c r="D44" s="32" t="inlineStr">
        <is>
          <t>Phase 2</t>
        </is>
      </c>
      <c r="E44" s="32" t="inlineStr">
        <is>
          <t>Not Started</t>
        </is>
      </c>
      <c r="F44" s="32" t="inlineStr">
        <is>
          <t>Guarantee Calculator is new V2 asset</t>
        </is>
      </c>
      <c r="G44" s="34" t="n"/>
      <c r="H44" s="35" t="n"/>
      <c r="I44" s="34" t="n"/>
      <c r="J44" s="35" t="n"/>
      <c r="K44" s="34" t="n"/>
      <c r="L44" s="35" t="n"/>
      <c r="M44" s="34" t="n"/>
      <c r="N44" s="35" t="n"/>
      <c r="O44" s="34" t="n"/>
      <c r="P44" s="33" t="n"/>
      <c r="Q44" s="33" t="n"/>
      <c r="R44" s="33" t="n"/>
      <c r="S44" s="33" t="n"/>
      <c r="T44" s="33" t="n"/>
      <c r="U44" s="34" t="n"/>
      <c r="V44" s="35" t="n"/>
      <c r="W44" s="34" t="n"/>
      <c r="X44" s="35" t="n"/>
      <c r="Y44" s="34" t="n"/>
      <c r="Z44" s="35" t="n"/>
      <c r="AA44" s="34" t="n"/>
      <c r="AB44" s="35" t="n"/>
      <c r="AC44" s="34" t="n"/>
      <c r="AD44" s="35" t="n"/>
      <c r="AE44" s="34" t="n"/>
      <c r="AF44" s="35" t="n"/>
      <c r="AG44" s="34" t="n"/>
      <c r="AH44" s="35" t="n"/>
      <c r="AI44" s="34" t="n"/>
      <c r="AJ44" s="35" t="n"/>
      <c r="AK44" s="34" t="n"/>
      <c r="AL44" s="35" t="n"/>
      <c r="AM44" s="34" t="n"/>
      <c r="AN44" s="35" t="n"/>
      <c r="AO44" s="34" t="n"/>
      <c r="AP44" s="35" t="n"/>
      <c r="AQ44" s="34" t="n"/>
      <c r="AR44" s="35" t="n"/>
      <c r="AS44" s="34" t="n"/>
      <c r="AT44" s="35" t="n"/>
      <c r="AU44" s="34" t="n"/>
      <c r="AV44" s="35" t="n"/>
      <c r="AW44" s="34" t="n"/>
      <c r="AX44" s="35" t="n"/>
      <c r="AY44" s="34" t="n"/>
      <c r="AZ44" s="35" t="n"/>
      <c r="BA44" s="34" t="n"/>
      <c r="BB44" s="35" t="n"/>
      <c r="BC44" s="34" t="n"/>
      <c r="BD44" s="35" t="n"/>
      <c r="BE44" s="34" t="n"/>
      <c r="BF44" s="35" t="n"/>
    </row>
    <row r="45" ht="30" customHeight="1">
      <c r="A45" s="36" t="inlineStr">
        <is>
          <t>40</t>
        </is>
      </c>
      <c r="B45" s="8" t="inlineStr">
        <is>
          <t>Launch referral programme (20% commission, 3 months)</t>
        </is>
      </c>
      <c r="C45" s="36" t="inlineStr">
        <is>
          <t>De Villiers</t>
        </is>
      </c>
      <c r="D45" s="36" t="inlineStr">
        <is>
          <t>Phase 2</t>
        </is>
      </c>
      <c r="E45" s="36" t="inlineStr">
        <is>
          <t>Not Started</t>
        </is>
      </c>
      <c r="F45" s="36" t="inlineStr">
        <is>
          <t>Activate after first case study published</t>
        </is>
      </c>
      <c r="G45" s="34" t="n"/>
      <c r="H45" s="35" t="n"/>
      <c r="I45" s="34" t="n"/>
      <c r="J45" s="35" t="n"/>
      <c r="K45" s="34" t="n"/>
      <c r="L45" s="35" t="n"/>
      <c r="M45" s="34" t="n"/>
      <c r="N45" s="35" t="n"/>
      <c r="O45" s="34" t="n"/>
      <c r="P45" s="35" t="n"/>
      <c r="Q45" s="34" t="n"/>
      <c r="R45" s="35" t="n"/>
      <c r="S45" s="33" t="n"/>
      <c r="T45" s="33" t="n"/>
      <c r="U45" s="33" t="n"/>
      <c r="V45" s="33" t="n"/>
      <c r="W45" s="34" t="n"/>
      <c r="X45" s="35" t="n"/>
      <c r="Y45" s="34" t="n"/>
      <c r="Z45" s="35" t="n"/>
      <c r="AA45" s="34" t="n"/>
      <c r="AB45" s="35" t="n"/>
      <c r="AC45" s="34" t="n"/>
      <c r="AD45" s="35" t="n"/>
      <c r="AE45" s="34" t="n"/>
      <c r="AF45" s="35" t="n"/>
      <c r="AG45" s="34" t="n"/>
      <c r="AH45" s="35" t="n"/>
      <c r="AI45" s="34" t="n"/>
      <c r="AJ45" s="35" t="n"/>
      <c r="AK45" s="34" t="n"/>
      <c r="AL45" s="35" t="n"/>
      <c r="AM45" s="34" t="n"/>
      <c r="AN45" s="35" t="n"/>
      <c r="AO45" s="34" t="n"/>
      <c r="AP45" s="35" t="n"/>
      <c r="AQ45" s="34" t="n"/>
      <c r="AR45" s="35" t="n"/>
      <c r="AS45" s="34" t="n"/>
      <c r="AT45" s="35" t="n"/>
      <c r="AU45" s="34" t="n"/>
      <c r="AV45" s="35" t="n"/>
      <c r="AW45" s="34" t="n"/>
      <c r="AX45" s="35" t="n"/>
      <c r="AY45" s="34" t="n"/>
      <c r="AZ45" s="35" t="n"/>
      <c r="BA45" s="34" t="n"/>
      <c r="BB45" s="35" t="n"/>
      <c r="BC45" s="34" t="n"/>
      <c r="BD45" s="35" t="n"/>
      <c r="BE45" s="34" t="n"/>
      <c r="BF45" s="35" t="n"/>
    </row>
    <row r="46" ht="30" customHeight="1">
      <c r="A46" s="32" t="inlineStr">
        <is>
          <t>41</t>
        </is>
      </c>
      <c r="B46" s="14" t="inlineStr">
        <is>
          <t>Track guarantee delivery per client (is guarantee being met?)</t>
        </is>
      </c>
      <c r="C46" s="32" t="inlineStr">
        <is>
          <t>De Villiers</t>
        </is>
      </c>
      <c r="D46" s="32" t="inlineStr">
        <is>
          <t>Phase 2</t>
        </is>
      </c>
      <c r="E46" s="32" t="inlineStr">
        <is>
          <t>Not Started</t>
        </is>
      </c>
      <c r="F46" s="32" t="inlineStr">
        <is>
          <t>Early warning system — adjust before clients notice</t>
        </is>
      </c>
      <c r="G46" s="34" t="n"/>
      <c r="H46" s="35" t="n"/>
      <c r="I46" s="34" t="n"/>
      <c r="J46" s="35" t="n"/>
      <c r="K46" s="34" t="n"/>
      <c r="L46" s="35" t="n"/>
      <c r="M46" s="34" t="n"/>
      <c r="N46" s="35" t="n"/>
      <c r="O46" s="33" t="n"/>
      <c r="P46" s="33" t="n"/>
      <c r="Q46" s="33" t="n"/>
      <c r="R46" s="33" t="n"/>
      <c r="S46" s="33" t="n"/>
      <c r="T46" s="33" t="n"/>
      <c r="U46" s="33" t="n"/>
      <c r="V46" s="33" t="n"/>
      <c r="W46" s="34" t="n"/>
      <c r="X46" s="35" t="n"/>
      <c r="Y46" s="34" t="n"/>
      <c r="Z46" s="35" t="n"/>
      <c r="AA46" s="34" t="n"/>
      <c r="AB46" s="35" t="n"/>
      <c r="AC46" s="34" t="n"/>
      <c r="AD46" s="35" t="n"/>
      <c r="AE46" s="34" t="n"/>
      <c r="AF46" s="35" t="n"/>
      <c r="AG46" s="34" t="n"/>
      <c r="AH46" s="35" t="n"/>
      <c r="AI46" s="34" t="n"/>
      <c r="AJ46" s="35" t="n"/>
      <c r="AK46" s="34" t="n"/>
      <c r="AL46" s="35" t="n"/>
      <c r="AM46" s="34" t="n"/>
      <c r="AN46" s="35" t="n"/>
      <c r="AO46" s="34" t="n"/>
      <c r="AP46" s="35" t="n"/>
      <c r="AQ46" s="34" t="n"/>
      <c r="AR46" s="35" t="n"/>
      <c r="AS46" s="34" t="n"/>
      <c r="AT46" s="35" t="n"/>
      <c r="AU46" s="34" t="n"/>
      <c r="AV46" s="35" t="n"/>
      <c r="AW46" s="34" t="n"/>
      <c r="AX46" s="35" t="n"/>
      <c r="AY46" s="34" t="n"/>
      <c r="AZ46" s="35" t="n"/>
      <c r="BA46" s="34" t="n"/>
      <c r="BB46" s="35" t="n"/>
      <c r="BC46" s="34" t="n"/>
      <c r="BD46" s="35" t="n"/>
      <c r="BE46" s="34" t="n"/>
      <c r="BF46" s="35" t="n"/>
    </row>
    <row r="47" ht="30" customHeight="1">
      <c r="A47" s="39" t="inlineStr">
        <is>
          <t>42</t>
        </is>
      </c>
      <c r="B47" s="40" t="inlineStr">
        <is>
          <t>MILESTONE: 12 active clients (break-even), first guarantee validated</t>
        </is>
      </c>
      <c r="C47" s="39" t="inlineStr">
        <is>
          <t>De Villiers</t>
        </is>
      </c>
      <c r="D47" s="39" t="inlineStr">
        <is>
          <t>Phase 2</t>
        </is>
      </c>
      <c r="E47" s="39" t="inlineStr">
        <is>
          <t>Not Started</t>
        </is>
      </c>
      <c r="F47" s="39" t="inlineStr">
        <is>
          <t>Target: end of Week 16</t>
        </is>
      </c>
      <c r="G47" s="34" t="n"/>
      <c r="H47" s="35" t="n"/>
      <c r="I47" s="34" t="n"/>
      <c r="J47" s="35" t="n"/>
      <c r="K47" s="34" t="n"/>
      <c r="L47" s="35" t="n"/>
      <c r="M47" s="34" t="n"/>
      <c r="N47" s="35" t="n"/>
      <c r="O47" s="34" t="n"/>
      <c r="P47" s="35" t="n"/>
      <c r="Q47" s="34" t="n"/>
      <c r="R47" s="35" t="n"/>
      <c r="S47" s="34" t="n"/>
      <c r="T47" s="35" t="n"/>
      <c r="U47" s="34" t="n"/>
      <c r="V47" s="41" t="n"/>
      <c r="W47" s="34" t="n"/>
      <c r="X47" s="35" t="n"/>
      <c r="Y47" s="34" t="n"/>
      <c r="Z47" s="35" t="n"/>
      <c r="AA47" s="34" t="n"/>
      <c r="AB47" s="35" t="n"/>
      <c r="AC47" s="34" t="n"/>
      <c r="AD47" s="35" t="n"/>
      <c r="AE47" s="34" t="n"/>
      <c r="AF47" s="35" t="n"/>
      <c r="AG47" s="34" t="n"/>
      <c r="AH47" s="35" t="n"/>
      <c r="AI47" s="34" t="n"/>
      <c r="AJ47" s="35" t="n"/>
      <c r="AK47" s="34" t="n"/>
      <c r="AL47" s="35" t="n"/>
      <c r="AM47" s="34" t="n"/>
      <c r="AN47" s="35" t="n"/>
      <c r="AO47" s="34" t="n"/>
      <c r="AP47" s="35" t="n"/>
      <c r="AQ47" s="34" t="n"/>
      <c r="AR47" s="35" t="n"/>
      <c r="AS47" s="34" t="n"/>
      <c r="AT47" s="35" t="n"/>
      <c r="AU47" s="34" t="n"/>
      <c r="AV47" s="35" t="n"/>
      <c r="AW47" s="34" t="n"/>
      <c r="AX47" s="35" t="n"/>
      <c r="AY47" s="34" t="n"/>
      <c r="AZ47" s="35" t="n"/>
      <c r="BA47" s="34" t="n"/>
      <c r="BB47" s="35" t="n"/>
      <c r="BC47" s="34" t="n"/>
      <c r="BD47" s="35" t="n"/>
      <c r="BE47" s="34" t="n"/>
      <c r="BF47" s="35" t="n"/>
    </row>
    <row r="48">
      <c r="A48" s="43" t="inlineStr">
        <is>
          <t>PHASE 3: GROWTH — Scale the Model (Weeks 17-32)</t>
        </is>
      </c>
    </row>
    <row r="49" ht="30" customHeight="1">
      <c r="A49" s="32" t="inlineStr">
        <is>
          <t>43</t>
        </is>
      </c>
      <c r="B49" s="14" t="inlineStr">
        <is>
          <t>Hire Part-time VA (client comms, report distribution, triage)</t>
        </is>
      </c>
      <c r="C49" s="32" t="inlineStr">
        <is>
          <t>De Villiers</t>
        </is>
      </c>
      <c r="D49" s="32" t="inlineStr">
        <is>
          <t>Phase 3</t>
        </is>
      </c>
      <c r="E49" s="32" t="inlineStr">
        <is>
          <t>Not Started</t>
        </is>
      </c>
      <c r="F49" s="32" t="inlineStr">
        <is>
          <t>Brief Marinus on VA selection criteria</t>
        </is>
      </c>
      <c r="G49" s="34" t="n"/>
      <c r="H49" s="35" t="n"/>
      <c r="I49" s="34" t="n"/>
      <c r="J49" s="35" t="n"/>
      <c r="K49" s="34" t="n"/>
      <c r="L49" s="35" t="n"/>
      <c r="M49" s="34" t="n"/>
      <c r="N49" s="35" t="n"/>
      <c r="O49" s="34" t="n"/>
      <c r="P49" s="35" t="n"/>
      <c r="Q49" s="34" t="n"/>
      <c r="R49" s="35" t="n"/>
      <c r="S49" s="34" t="n"/>
      <c r="T49" s="35" t="n"/>
      <c r="U49" s="34" t="n"/>
      <c r="V49" s="35" t="n"/>
      <c r="W49" s="33" t="n"/>
      <c r="X49" s="33" t="n"/>
      <c r="Y49" s="33" t="n"/>
      <c r="Z49" s="33" t="n"/>
      <c r="AA49" s="34" t="n"/>
      <c r="AB49" s="35" t="n"/>
      <c r="AC49" s="34" t="n"/>
      <c r="AD49" s="35" t="n"/>
      <c r="AE49" s="34" t="n"/>
      <c r="AF49" s="35" t="n"/>
      <c r="AG49" s="34" t="n"/>
      <c r="AH49" s="35" t="n"/>
      <c r="AI49" s="34" t="n"/>
      <c r="AJ49" s="35" t="n"/>
      <c r="AK49" s="34" t="n"/>
      <c r="AL49" s="35" t="n"/>
      <c r="AM49" s="34" t="n"/>
      <c r="AN49" s="35" t="n"/>
      <c r="AO49" s="34" t="n"/>
      <c r="AP49" s="35" t="n"/>
      <c r="AQ49" s="34" t="n"/>
      <c r="AR49" s="35" t="n"/>
      <c r="AS49" s="34" t="n"/>
      <c r="AT49" s="35" t="n"/>
      <c r="AU49" s="34" t="n"/>
      <c r="AV49" s="35" t="n"/>
      <c r="AW49" s="34" t="n"/>
      <c r="AX49" s="35" t="n"/>
      <c r="AY49" s="34" t="n"/>
      <c r="AZ49" s="35" t="n"/>
      <c r="BA49" s="34" t="n"/>
      <c r="BB49" s="35" t="n"/>
      <c r="BC49" s="34" t="n"/>
      <c r="BD49" s="35" t="n"/>
      <c r="BE49" s="34" t="n"/>
      <c r="BF49" s="35" t="n"/>
    </row>
    <row r="50" ht="30" customHeight="1">
      <c r="A50" s="36" t="inlineStr">
        <is>
          <t>44</t>
        </is>
      </c>
      <c r="B50" s="8" t="inlineStr">
        <is>
          <t>Train VA on Instantly, HubSpot, reporting workflows</t>
        </is>
      </c>
      <c r="C50" s="36" t="inlineStr">
        <is>
          <t>De Villiers</t>
        </is>
      </c>
      <c r="D50" s="36" t="inlineStr">
        <is>
          <t>Phase 3</t>
        </is>
      </c>
      <c r="E50" s="36" t="inlineStr">
        <is>
          <t>Not Started</t>
        </is>
      </c>
      <c r="F50" s="36" t="inlineStr"/>
      <c r="G50" s="34" t="n"/>
      <c r="H50" s="35" t="n"/>
      <c r="I50" s="34" t="n"/>
      <c r="J50" s="35" t="n"/>
      <c r="K50" s="34" t="n"/>
      <c r="L50" s="35" t="n"/>
      <c r="M50" s="34" t="n"/>
      <c r="N50" s="35" t="n"/>
      <c r="O50" s="34" t="n"/>
      <c r="P50" s="35" t="n"/>
      <c r="Q50" s="34" t="n"/>
      <c r="R50" s="35" t="n"/>
      <c r="S50" s="34" t="n"/>
      <c r="T50" s="35" t="n"/>
      <c r="U50" s="34" t="n"/>
      <c r="V50" s="35" t="n"/>
      <c r="W50" s="33" t="n"/>
      <c r="X50" s="33" t="n"/>
      <c r="Y50" s="33" t="n"/>
      <c r="Z50" s="33" t="n"/>
      <c r="AA50" s="33" t="n"/>
      <c r="AB50" s="35" t="n"/>
      <c r="AC50" s="34" t="n"/>
      <c r="AD50" s="35" t="n"/>
      <c r="AE50" s="34" t="n"/>
      <c r="AF50" s="35" t="n"/>
      <c r="AG50" s="34" t="n"/>
      <c r="AH50" s="35" t="n"/>
      <c r="AI50" s="34" t="n"/>
      <c r="AJ50" s="35" t="n"/>
      <c r="AK50" s="34" t="n"/>
      <c r="AL50" s="35" t="n"/>
      <c r="AM50" s="34" t="n"/>
      <c r="AN50" s="35" t="n"/>
      <c r="AO50" s="34" t="n"/>
      <c r="AP50" s="35" t="n"/>
      <c r="AQ50" s="34" t="n"/>
      <c r="AR50" s="35" t="n"/>
      <c r="AS50" s="34" t="n"/>
      <c r="AT50" s="35" t="n"/>
      <c r="AU50" s="34" t="n"/>
      <c r="AV50" s="35" t="n"/>
      <c r="AW50" s="34" t="n"/>
      <c r="AX50" s="35" t="n"/>
      <c r="AY50" s="34" t="n"/>
      <c r="AZ50" s="35" t="n"/>
      <c r="BA50" s="34" t="n"/>
      <c r="BB50" s="35" t="n"/>
      <c r="BC50" s="34" t="n"/>
      <c r="BD50" s="35" t="n"/>
      <c r="BE50" s="34" t="n"/>
      <c r="BF50" s="35" t="n"/>
    </row>
    <row r="51" ht="30" customHeight="1">
      <c r="A51" s="32" t="inlineStr">
        <is>
          <t>45</t>
        </is>
      </c>
      <c r="B51" s="14" t="inlineStr">
        <is>
          <t>VA takes over: response triage, report delivery, CRM hygiene</t>
        </is>
      </c>
      <c r="C51" s="32" t="inlineStr">
        <is>
          <t>VA</t>
        </is>
      </c>
      <c r="D51" s="32" t="inlineStr">
        <is>
          <t>Phase 3</t>
        </is>
      </c>
      <c r="E51" s="32" t="inlineStr">
        <is>
          <t>Not Started</t>
        </is>
      </c>
      <c r="F51" s="32" t="inlineStr"/>
      <c r="G51" s="34" t="n"/>
      <c r="H51" s="35" t="n"/>
      <c r="I51" s="34" t="n"/>
      <c r="J51" s="35" t="n"/>
      <c r="K51" s="34" t="n"/>
      <c r="L51" s="35" t="n"/>
      <c r="M51" s="34" t="n"/>
      <c r="N51" s="35" t="n"/>
      <c r="O51" s="34" t="n"/>
      <c r="P51" s="35" t="n"/>
      <c r="Q51" s="34" t="n"/>
      <c r="R51" s="35" t="n"/>
      <c r="S51" s="34" t="n"/>
      <c r="T51" s="35" t="n"/>
      <c r="U51" s="34" t="n"/>
      <c r="V51" s="35" t="n"/>
      <c r="W51" s="34" t="n"/>
      <c r="X51" s="35" t="n"/>
      <c r="Y51" s="34" t="n"/>
      <c r="Z51" s="33" t="n"/>
      <c r="AA51" s="33" t="n"/>
      <c r="AB51" s="33" t="n"/>
      <c r="AC51" s="33" t="n"/>
      <c r="AD51" s="33" t="n"/>
      <c r="AE51" s="33" t="n"/>
      <c r="AF51" s="33" t="n"/>
      <c r="AG51" s="33" t="n"/>
      <c r="AH51" s="33" t="n"/>
      <c r="AI51" s="33" t="n"/>
      <c r="AJ51" s="33" t="n"/>
      <c r="AK51" s="33" t="n"/>
      <c r="AL51" s="33" t="n"/>
      <c r="AM51" s="34" t="n"/>
      <c r="AN51" s="35" t="n"/>
      <c r="AO51" s="34" t="n"/>
      <c r="AP51" s="35" t="n"/>
      <c r="AQ51" s="34" t="n"/>
      <c r="AR51" s="35" t="n"/>
      <c r="AS51" s="34" t="n"/>
      <c r="AT51" s="35" t="n"/>
      <c r="AU51" s="34" t="n"/>
      <c r="AV51" s="35" t="n"/>
      <c r="AW51" s="34" t="n"/>
      <c r="AX51" s="35" t="n"/>
      <c r="AY51" s="34" t="n"/>
      <c r="AZ51" s="35" t="n"/>
      <c r="BA51" s="34" t="n"/>
      <c r="BB51" s="35" t="n"/>
      <c r="BC51" s="34" t="n"/>
      <c r="BD51" s="35" t="n"/>
      <c r="BE51" s="34" t="n"/>
      <c r="BF51" s="35" t="n"/>
    </row>
    <row r="52" ht="30" customHeight="1">
      <c r="A52" s="36" t="inlineStr">
        <is>
          <t>46</t>
        </is>
      </c>
      <c r="B52" s="8" t="inlineStr">
        <is>
          <t>Launch Growth tier ($4,000/mo, 12 meetings guaranteed)</t>
        </is>
      </c>
      <c r="C52" s="36" t="inlineStr">
        <is>
          <t>De Villiers</t>
        </is>
      </c>
      <c r="D52" s="36" t="inlineStr">
        <is>
          <t>Phase 3</t>
        </is>
      </c>
      <c r="E52" s="36" t="inlineStr">
        <is>
          <t>Not Started</t>
        </is>
      </c>
      <c r="F52" s="36" t="inlineStr">
        <is>
          <t>Upgrade eligible Launch clients</t>
        </is>
      </c>
      <c r="G52" s="34" t="n"/>
      <c r="H52" s="35" t="n"/>
      <c r="I52" s="34" t="n"/>
      <c r="J52" s="35" t="n"/>
      <c r="K52" s="34" t="n"/>
      <c r="L52" s="35" t="n"/>
      <c r="M52" s="34" t="n"/>
      <c r="N52" s="35" t="n"/>
      <c r="O52" s="34" t="n"/>
      <c r="P52" s="35" t="n"/>
      <c r="Q52" s="34" t="n"/>
      <c r="R52" s="35" t="n"/>
      <c r="S52" s="34" t="n"/>
      <c r="T52" s="35" t="n"/>
      <c r="U52" s="34" t="n"/>
      <c r="V52" s="35" t="n"/>
      <c r="W52" s="33" t="n"/>
      <c r="X52" s="33" t="n"/>
      <c r="Y52" s="33" t="n"/>
      <c r="Z52" s="33" t="n"/>
      <c r="AA52" s="34" t="n"/>
      <c r="AB52" s="35" t="n"/>
      <c r="AC52" s="34" t="n"/>
      <c r="AD52" s="35" t="n"/>
      <c r="AE52" s="34" t="n"/>
      <c r="AF52" s="35" t="n"/>
      <c r="AG52" s="34" t="n"/>
      <c r="AH52" s="35" t="n"/>
      <c r="AI52" s="34" t="n"/>
      <c r="AJ52" s="35" t="n"/>
      <c r="AK52" s="34" t="n"/>
      <c r="AL52" s="35" t="n"/>
      <c r="AM52" s="34" t="n"/>
      <c r="AN52" s="35" t="n"/>
      <c r="AO52" s="34" t="n"/>
      <c r="AP52" s="35" t="n"/>
      <c r="AQ52" s="34" t="n"/>
      <c r="AR52" s="35" t="n"/>
      <c r="AS52" s="34" t="n"/>
      <c r="AT52" s="35" t="n"/>
      <c r="AU52" s="34" t="n"/>
      <c r="AV52" s="35" t="n"/>
      <c r="AW52" s="34" t="n"/>
      <c r="AX52" s="35" t="n"/>
      <c r="AY52" s="34" t="n"/>
      <c r="AZ52" s="35" t="n"/>
      <c r="BA52" s="34" t="n"/>
      <c r="BB52" s="35" t="n"/>
      <c r="BC52" s="34" t="n"/>
      <c r="BD52" s="35" t="n"/>
      <c r="BE52" s="34" t="n"/>
      <c r="BF52" s="35" t="n"/>
    </row>
    <row r="53" ht="30" customHeight="1">
      <c r="A53" s="32" t="inlineStr">
        <is>
          <t>47</t>
        </is>
      </c>
      <c r="B53" s="14" t="inlineStr">
        <is>
          <t>Introduce ad management service (15% markup)</t>
        </is>
      </c>
      <c r="C53" s="32" t="inlineStr">
        <is>
          <t>De Villiers</t>
        </is>
      </c>
      <c r="D53" s="32" t="inlineStr">
        <is>
          <t>Phase 3</t>
        </is>
      </c>
      <c r="E53" s="32" t="inlineStr">
        <is>
          <t>Not Started</t>
        </is>
      </c>
      <c r="F53" s="32" t="inlineStr"/>
      <c r="G53" s="34" t="n"/>
      <c r="H53" s="35" t="n"/>
      <c r="I53" s="34" t="n"/>
      <c r="J53" s="35" t="n"/>
      <c r="K53" s="34" t="n"/>
      <c r="L53" s="35" t="n"/>
      <c r="M53" s="34" t="n"/>
      <c r="N53" s="35" t="n"/>
      <c r="O53" s="34" t="n"/>
      <c r="P53" s="35" t="n"/>
      <c r="Q53" s="34" t="n"/>
      <c r="R53" s="35" t="n"/>
      <c r="S53" s="34" t="n"/>
      <c r="T53" s="35" t="n"/>
      <c r="U53" s="34" t="n"/>
      <c r="V53" s="35" t="n"/>
      <c r="W53" s="34" t="n"/>
      <c r="X53" s="35" t="n"/>
      <c r="Y53" s="33" t="n"/>
      <c r="Z53" s="33" t="n"/>
      <c r="AA53" s="33" t="n"/>
      <c r="AB53" s="33" t="n"/>
      <c r="AC53" s="33" t="n"/>
      <c r="AD53" s="33" t="n"/>
      <c r="AE53" s="34" t="n"/>
      <c r="AF53" s="35" t="n"/>
      <c r="AG53" s="34" t="n"/>
      <c r="AH53" s="35" t="n"/>
      <c r="AI53" s="34" t="n"/>
      <c r="AJ53" s="35" t="n"/>
      <c r="AK53" s="34" t="n"/>
      <c r="AL53" s="35" t="n"/>
      <c r="AM53" s="34" t="n"/>
      <c r="AN53" s="35" t="n"/>
      <c r="AO53" s="34" t="n"/>
      <c r="AP53" s="35" t="n"/>
      <c r="AQ53" s="34" t="n"/>
      <c r="AR53" s="35" t="n"/>
      <c r="AS53" s="34" t="n"/>
      <c r="AT53" s="35" t="n"/>
      <c r="AU53" s="34" t="n"/>
      <c r="AV53" s="35" t="n"/>
      <c r="AW53" s="34" t="n"/>
      <c r="AX53" s="35" t="n"/>
      <c r="AY53" s="34" t="n"/>
      <c r="AZ53" s="35" t="n"/>
      <c r="BA53" s="34" t="n"/>
      <c r="BB53" s="35" t="n"/>
      <c r="BC53" s="34" t="n"/>
      <c r="BD53" s="35" t="n"/>
      <c r="BE53" s="34" t="n"/>
      <c r="BF53" s="35" t="n"/>
    </row>
    <row r="54" ht="30" customHeight="1">
      <c r="A54" s="36" t="inlineStr">
        <is>
          <t>48</t>
        </is>
      </c>
      <c r="B54" s="8" t="inlineStr">
        <is>
          <t>Expand to 4th vertical (Financial Services or Professional Services)</t>
        </is>
      </c>
      <c r="C54" s="36" t="inlineStr">
        <is>
          <t>De Villiers</t>
        </is>
      </c>
      <c r="D54" s="36" t="inlineStr">
        <is>
          <t>Phase 3</t>
        </is>
      </c>
      <c r="E54" s="36" t="inlineStr">
        <is>
          <t>Not Started</t>
        </is>
      </c>
      <c r="F54" s="36" t="inlineStr">
        <is>
          <t>Collaborate with Marinus on ICP design</t>
        </is>
      </c>
      <c r="G54" s="34" t="n"/>
      <c r="H54" s="35" t="n"/>
      <c r="I54" s="34" t="n"/>
      <c r="J54" s="35" t="n"/>
      <c r="K54" s="34" t="n"/>
      <c r="L54" s="35" t="n"/>
      <c r="M54" s="34" t="n"/>
      <c r="N54" s="35" t="n"/>
      <c r="O54" s="34" t="n"/>
      <c r="P54" s="35" t="n"/>
      <c r="Q54" s="34" t="n"/>
      <c r="R54" s="35" t="n"/>
      <c r="S54" s="34" t="n"/>
      <c r="T54" s="35" t="n"/>
      <c r="U54" s="34" t="n"/>
      <c r="V54" s="35" t="n"/>
      <c r="W54" s="34" t="n"/>
      <c r="X54" s="35" t="n"/>
      <c r="Y54" s="34" t="n"/>
      <c r="Z54" s="33" t="n"/>
      <c r="AA54" s="33" t="n"/>
      <c r="AB54" s="33" t="n"/>
      <c r="AC54" s="33" t="n"/>
      <c r="AD54" s="33" t="n"/>
      <c r="AE54" s="33" t="n"/>
      <c r="AF54" s="33" t="n"/>
      <c r="AG54" s="34" t="n"/>
      <c r="AH54" s="35" t="n"/>
      <c r="AI54" s="34" t="n"/>
      <c r="AJ54" s="35" t="n"/>
      <c r="AK54" s="34" t="n"/>
      <c r="AL54" s="35" t="n"/>
      <c r="AM54" s="34" t="n"/>
      <c r="AN54" s="35" t="n"/>
      <c r="AO54" s="34" t="n"/>
      <c r="AP54" s="35" t="n"/>
      <c r="AQ54" s="34" t="n"/>
      <c r="AR54" s="35" t="n"/>
      <c r="AS54" s="34" t="n"/>
      <c r="AT54" s="35" t="n"/>
      <c r="AU54" s="34" t="n"/>
      <c r="AV54" s="35" t="n"/>
      <c r="AW54" s="34" t="n"/>
      <c r="AX54" s="35" t="n"/>
      <c r="AY54" s="34" t="n"/>
      <c r="AZ54" s="35" t="n"/>
      <c r="BA54" s="34" t="n"/>
      <c r="BB54" s="35" t="n"/>
      <c r="BC54" s="34" t="n"/>
      <c r="BD54" s="35" t="n"/>
      <c r="BE54" s="34" t="n"/>
      <c r="BF54" s="35" t="n"/>
    </row>
    <row r="55" ht="30" customHeight="1">
      <c r="A55" s="32" t="inlineStr">
        <is>
          <t>49</t>
        </is>
      </c>
      <c r="B55" s="14" t="inlineStr">
        <is>
          <t>Polsia generates vertical 4 playbook</t>
        </is>
      </c>
      <c r="C55" s="32" t="inlineStr">
        <is>
          <t>Polsia</t>
        </is>
      </c>
      <c r="D55" s="32" t="inlineStr">
        <is>
          <t>Phase 3</t>
        </is>
      </c>
      <c r="E55" s="32" t="inlineStr">
        <is>
          <t>Not Started</t>
        </is>
      </c>
      <c r="F55" s="32" t="inlineStr"/>
      <c r="G55" s="34" t="n"/>
      <c r="H55" s="35" t="n"/>
      <c r="I55" s="34" t="n"/>
      <c r="J55" s="35" t="n"/>
      <c r="K55" s="34" t="n"/>
      <c r="L55" s="35" t="n"/>
      <c r="M55" s="34" t="n"/>
      <c r="N55" s="35" t="n"/>
      <c r="O55" s="34" t="n"/>
      <c r="P55" s="35" t="n"/>
      <c r="Q55" s="34" t="n"/>
      <c r="R55" s="35" t="n"/>
      <c r="S55" s="34" t="n"/>
      <c r="T55" s="35" t="n"/>
      <c r="U55" s="34" t="n"/>
      <c r="V55" s="35" t="n"/>
      <c r="W55" s="34" t="n"/>
      <c r="X55" s="35" t="n"/>
      <c r="Y55" s="34" t="n"/>
      <c r="Z55" s="33" t="n"/>
      <c r="AA55" s="33" t="n"/>
      <c r="AB55" s="33" t="n"/>
      <c r="AC55" s="33" t="n"/>
      <c r="AD55" s="33" t="n"/>
      <c r="AE55" s="34" t="n"/>
      <c r="AF55" s="35" t="n"/>
      <c r="AG55" s="34" t="n"/>
      <c r="AH55" s="35" t="n"/>
      <c r="AI55" s="34" t="n"/>
      <c r="AJ55" s="35" t="n"/>
      <c r="AK55" s="34" t="n"/>
      <c r="AL55" s="35" t="n"/>
      <c r="AM55" s="34" t="n"/>
      <c r="AN55" s="35" t="n"/>
      <c r="AO55" s="34" t="n"/>
      <c r="AP55" s="35" t="n"/>
      <c r="AQ55" s="34" t="n"/>
      <c r="AR55" s="35" t="n"/>
      <c r="AS55" s="34" t="n"/>
      <c r="AT55" s="35" t="n"/>
      <c r="AU55" s="34" t="n"/>
      <c r="AV55" s="35" t="n"/>
      <c r="AW55" s="34" t="n"/>
      <c r="AX55" s="35" t="n"/>
      <c r="AY55" s="34" t="n"/>
      <c r="AZ55" s="35" t="n"/>
      <c r="BA55" s="34" t="n"/>
      <c r="BB55" s="35" t="n"/>
      <c r="BC55" s="34" t="n"/>
      <c r="BD55" s="35" t="n"/>
      <c r="BE55" s="34" t="n"/>
      <c r="BF55" s="35" t="n"/>
    </row>
    <row r="56" ht="30" customHeight="1">
      <c r="A56" s="37" t="inlineStr">
        <is>
          <t>50</t>
        </is>
      </c>
      <c r="B56" s="30" t="inlineStr">
        <is>
          <t>APPROVAL GATE: De Villiers reviews vertical 4 playbook</t>
        </is>
      </c>
      <c r="C56" s="37" t="inlineStr">
        <is>
          <t>De Villiers</t>
        </is>
      </c>
      <c r="D56" s="37" t="inlineStr">
        <is>
          <t>Phase 3</t>
        </is>
      </c>
      <c r="E56" s="37" t="inlineStr">
        <is>
          <t>Not Started</t>
        </is>
      </c>
      <c r="F56" s="37" t="inlineStr"/>
      <c r="G56" s="34" t="n"/>
      <c r="H56" s="35" t="n"/>
      <c r="I56" s="34" t="n"/>
      <c r="J56" s="35" t="n"/>
      <c r="K56" s="34" t="n"/>
      <c r="L56" s="35" t="n"/>
      <c r="M56" s="34" t="n"/>
      <c r="N56" s="35" t="n"/>
      <c r="O56" s="34" t="n"/>
      <c r="P56" s="35" t="n"/>
      <c r="Q56" s="34" t="n"/>
      <c r="R56" s="35" t="n"/>
      <c r="S56" s="34" t="n"/>
      <c r="T56" s="35" t="n"/>
      <c r="U56" s="34" t="n"/>
      <c r="V56" s="35" t="n"/>
      <c r="W56" s="34" t="n"/>
      <c r="X56" s="35" t="n"/>
      <c r="Y56" s="34" t="n"/>
      <c r="Z56" s="35" t="n"/>
      <c r="AA56" s="34" t="n"/>
      <c r="AB56" s="35" t="n"/>
      <c r="AC56" s="38" t="n"/>
      <c r="AD56" s="38" t="n"/>
      <c r="AE56" s="38" t="n"/>
      <c r="AF56" s="38" t="n"/>
      <c r="AG56" s="34" t="n"/>
      <c r="AH56" s="35" t="n"/>
      <c r="AI56" s="34" t="n"/>
      <c r="AJ56" s="35" t="n"/>
      <c r="AK56" s="34" t="n"/>
      <c r="AL56" s="35" t="n"/>
      <c r="AM56" s="34" t="n"/>
      <c r="AN56" s="35" t="n"/>
      <c r="AO56" s="34" t="n"/>
      <c r="AP56" s="35" t="n"/>
      <c r="AQ56" s="34" t="n"/>
      <c r="AR56" s="35" t="n"/>
      <c r="AS56" s="34" t="n"/>
      <c r="AT56" s="35" t="n"/>
      <c r="AU56" s="34" t="n"/>
      <c r="AV56" s="35" t="n"/>
      <c r="AW56" s="34" t="n"/>
      <c r="AX56" s="35" t="n"/>
      <c r="AY56" s="34" t="n"/>
      <c r="AZ56" s="35" t="n"/>
      <c r="BA56" s="34" t="n"/>
      <c r="BB56" s="35" t="n"/>
      <c r="BC56" s="34" t="n"/>
      <c r="BD56" s="35" t="n"/>
      <c r="BE56" s="34" t="n"/>
      <c r="BF56" s="35" t="n"/>
    </row>
    <row r="57" ht="30" customHeight="1">
      <c r="A57" s="32" t="inlineStr">
        <is>
          <t>51</t>
        </is>
      </c>
      <c r="B57" s="14" t="inlineStr">
        <is>
          <t>Build agency partner channel (web design, CRM consultants)</t>
        </is>
      </c>
      <c r="C57" s="32" t="inlineStr">
        <is>
          <t>De Villiers</t>
        </is>
      </c>
      <c r="D57" s="32" t="inlineStr">
        <is>
          <t>Phase 3</t>
        </is>
      </c>
      <c r="E57" s="32" t="inlineStr">
        <is>
          <t>Not Started</t>
        </is>
      </c>
      <c r="F57" s="32" t="inlineStr">
        <is>
          <t>10% ongoing revenue share</t>
        </is>
      </c>
      <c r="G57" s="34" t="n"/>
      <c r="H57" s="35" t="n"/>
      <c r="I57" s="34" t="n"/>
      <c r="J57" s="35" t="n"/>
      <c r="K57" s="34" t="n"/>
      <c r="L57" s="35" t="n"/>
      <c r="M57" s="34" t="n"/>
      <c r="N57" s="35" t="n"/>
      <c r="O57" s="34" t="n"/>
      <c r="P57" s="35" t="n"/>
      <c r="Q57" s="34" t="n"/>
      <c r="R57" s="35" t="n"/>
      <c r="S57" s="34" t="n"/>
      <c r="T57" s="35" t="n"/>
      <c r="U57" s="34" t="n"/>
      <c r="V57" s="35" t="n"/>
      <c r="W57" s="34" t="n"/>
      <c r="X57" s="35" t="n"/>
      <c r="Y57" s="34" t="n"/>
      <c r="Z57" s="35" t="n"/>
      <c r="AA57" s="33" t="n"/>
      <c r="AB57" s="33" t="n"/>
      <c r="AC57" s="33" t="n"/>
      <c r="AD57" s="33" t="n"/>
      <c r="AE57" s="33" t="n"/>
      <c r="AF57" s="33" t="n"/>
      <c r="AG57" s="33" t="n"/>
      <c r="AH57" s="33" t="n"/>
      <c r="AI57" s="34" t="n"/>
      <c r="AJ57" s="35" t="n"/>
      <c r="AK57" s="34" t="n"/>
      <c r="AL57" s="35" t="n"/>
      <c r="AM57" s="34" t="n"/>
      <c r="AN57" s="35" t="n"/>
      <c r="AO57" s="34" t="n"/>
      <c r="AP57" s="35" t="n"/>
      <c r="AQ57" s="34" t="n"/>
      <c r="AR57" s="35" t="n"/>
      <c r="AS57" s="34" t="n"/>
      <c r="AT57" s="35" t="n"/>
      <c r="AU57" s="34" t="n"/>
      <c r="AV57" s="35" t="n"/>
      <c r="AW57" s="34" t="n"/>
      <c r="AX57" s="35" t="n"/>
      <c r="AY57" s="34" t="n"/>
      <c r="AZ57" s="35" t="n"/>
      <c r="BA57" s="34" t="n"/>
      <c r="BB57" s="35" t="n"/>
      <c r="BC57" s="34" t="n"/>
      <c r="BD57" s="35" t="n"/>
      <c r="BE57" s="34" t="n"/>
      <c r="BF57" s="35" t="n"/>
    </row>
    <row r="58" ht="30" customHeight="1">
      <c r="A58" s="36" t="inlineStr">
        <is>
          <t>52</t>
        </is>
      </c>
      <c r="B58" s="8" t="inlineStr">
        <is>
          <t>Monthly strategy review with Marinus (pipeline, guarantee rates, ICP)</t>
        </is>
      </c>
      <c r="C58" s="36" t="inlineStr">
        <is>
          <t>De Villiers + Marinus</t>
        </is>
      </c>
      <c r="D58" s="36" t="inlineStr">
        <is>
          <t>Phase 3</t>
        </is>
      </c>
      <c r="E58" s="36" t="inlineStr">
        <is>
          <t>Not Started</t>
        </is>
      </c>
      <c r="F58" s="36" t="inlineStr">
        <is>
          <t>Monthly cadence</t>
        </is>
      </c>
      <c r="G58" s="34" t="n"/>
      <c r="H58" s="35" t="n"/>
      <c r="I58" s="34" t="n"/>
      <c r="J58" s="35" t="n"/>
      <c r="K58" s="34" t="n"/>
      <c r="L58" s="35" t="n"/>
      <c r="M58" s="34" t="n"/>
      <c r="N58" s="35" t="n"/>
      <c r="O58" s="34" t="n"/>
      <c r="P58" s="35" t="n"/>
      <c r="Q58" s="34" t="n"/>
      <c r="R58" s="35" t="n"/>
      <c r="S58" s="34" t="n"/>
      <c r="T58" s="35" t="n"/>
      <c r="U58" s="34" t="n"/>
      <c r="V58" s="35" t="n"/>
      <c r="W58" s="33" t="n"/>
      <c r="X58" s="33" t="n"/>
      <c r="Y58" s="33" t="n"/>
      <c r="Z58" s="33" t="n"/>
      <c r="AA58" s="33" t="n"/>
      <c r="AB58" s="33" t="n"/>
      <c r="AC58" s="33" t="n"/>
      <c r="AD58" s="33" t="n"/>
      <c r="AE58" s="33" t="n"/>
      <c r="AF58" s="33" t="n"/>
      <c r="AG58" s="33" t="n"/>
      <c r="AH58" s="33" t="n"/>
      <c r="AI58" s="33" t="n"/>
      <c r="AJ58" s="33" t="n"/>
      <c r="AK58" s="33" t="n"/>
      <c r="AL58" s="33" t="n"/>
      <c r="AM58" s="34" t="n"/>
      <c r="AN58" s="35" t="n"/>
      <c r="AO58" s="34" t="n"/>
      <c r="AP58" s="35" t="n"/>
      <c r="AQ58" s="34" t="n"/>
      <c r="AR58" s="35" t="n"/>
      <c r="AS58" s="34" t="n"/>
      <c r="AT58" s="35" t="n"/>
      <c r="AU58" s="34" t="n"/>
      <c r="AV58" s="35" t="n"/>
      <c r="AW58" s="34" t="n"/>
      <c r="AX58" s="35" t="n"/>
      <c r="AY58" s="34" t="n"/>
      <c r="AZ58" s="35" t="n"/>
      <c r="BA58" s="34" t="n"/>
      <c r="BB58" s="35" t="n"/>
      <c r="BC58" s="34" t="n"/>
      <c r="BD58" s="35" t="n"/>
      <c r="BE58" s="34" t="n"/>
      <c r="BF58" s="35" t="n"/>
    </row>
    <row r="59" ht="30" customHeight="1">
      <c r="A59" s="39" t="inlineStr">
        <is>
          <t>53</t>
        </is>
      </c>
      <c r="B59" s="40" t="inlineStr">
        <is>
          <t>MILESTONE: 20 active clients, $60K+ MRR</t>
        </is>
      </c>
      <c r="C59" s="39" t="inlineStr">
        <is>
          <t>De Villiers</t>
        </is>
      </c>
      <c r="D59" s="39" t="inlineStr">
        <is>
          <t>Phase 3</t>
        </is>
      </c>
      <c r="E59" s="39" t="inlineStr">
        <is>
          <t>Not Started</t>
        </is>
      </c>
      <c r="F59" s="39" t="inlineStr">
        <is>
          <t>Target: end of Week 32</t>
        </is>
      </c>
      <c r="G59" s="34" t="n"/>
      <c r="H59" s="35" t="n"/>
      <c r="I59" s="34" t="n"/>
      <c r="J59" s="35" t="n"/>
      <c r="K59" s="34" t="n"/>
      <c r="L59" s="35" t="n"/>
      <c r="M59" s="34" t="n"/>
      <c r="N59" s="35" t="n"/>
      <c r="O59" s="34" t="n"/>
      <c r="P59" s="35" t="n"/>
      <c r="Q59" s="34" t="n"/>
      <c r="R59" s="35" t="n"/>
      <c r="S59" s="34" t="n"/>
      <c r="T59" s="35" t="n"/>
      <c r="U59" s="34" t="n"/>
      <c r="V59" s="35" t="n"/>
      <c r="W59" s="34" t="n"/>
      <c r="X59" s="35" t="n"/>
      <c r="Y59" s="34" t="n"/>
      <c r="Z59" s="35" t="n"/>
      <c r="AA59" s="34" t="n"/>
      <c r="AB59" s="35" t="n"/>
      <c r="AC59" s="34" t="n"/>
      <c r="AD59" s="35" t="n"/>
      <c r="AE59" s="34" t="n"/>
      <c r="AF59" s="35" t="n"/>
      <c r="AG59" s="34" t="n"/>
      <c r="AH59" s="35" t="n"/>
      <c r="AI59" s="34" t="n"/>
      <c r="AJ59" s="35" t="n"/>
      <c r="AK59" s="34" t="n"/>
      <c r="AL59" s="41" t="n"/>
      <c r="AM59" s="34" t="n"/>
      <c r="AN59" s="35" t="n"/>
      <c r="AO59" s="34" t="n"/>
      <c r="AP59" s="35" t="n"/>
      <c r="AQ59" s="34" t="n"/>
      <c r="AR59" s="35" t="n"/>
      <c r="AS59" s="34" t="n"/>
      <c r="AT59" s="35" t="n"/>
      <c r="AU59" s="34" t="n"/>
      <c r="AV59" s="35" t="n"/>
      <c r="AW59" s="34" t="n"/>
      <c r="AX59" s="35" t="n"/>
      <c r="AY59" s="34" t="n"/>
      <c r="AZ59" s="35" t="n"/>
      <c r="BA59" s="34" t="n"/>
      <c r="BB59" s="35" t="n"/>
      <c r="BC59" s="34" t="n"/>
      <c r="BD59" s="35" t="n"/>
      <c r="BE59" s="34" t="n"/>
      <c r="BF59" s="35" t="n"/>
    </row>
    <row r="60">
      <c r="A60" s="31" t="inlineStr">
        <is>
          <t>PHASE 4: SCALE — Optimise and Systematise (Weeks 33-52)</t>
        </is>
      </c>
    </row>
    <row r="61" ht="30" customHeight="1">
      <c r="A61" s="36" t="inlineStr">
        <is>
          <t>54</t>
        </is>
      </c>
      <c r="B61" s="8" t="inlineStr">
        <is>
          <t>Launch Enterprise tier ($6,000/mo, 18 meetings, dedicated mgr)</t>
        </is>
      </c>
      <c r="C61" s="36" t="inlineStr">
        <is>
          <t>De Villiers</t>
        </is>
      </c>
      <c r="D61" s="36" t="inlineStr">
        <is>
          <t>Phase 4</t>
        </is>
      </c>
      <c r="E61" s="36" t="inlineStr">
        <is>
          <t>Not Started</t>
        </is>
      </c>
      <c r="F61" s="36" t="inlineStr"/>
      <c r="G61" s="34" t="n"/>
      <c r="H61" s="35" t="n"/>
      <c r="I61" s="34" t="n"/>
      <c r="J61" s="35" t="n"/>
      <c r="K61" s="34" t="n"/>
      <c r="L61" s="35" t="n"/>
      <c r="M61" s="34" t="n"/>
      <c r="N61" s="35" t="n"/>
      <c r="O61" s="34" t="n"/>
      <c r="P61" s="35" t="n"/>
      <c r="Q61" s="34" t="n"/>
      <c r="R61" s="35" t="n"/>
      <c r="S61" s="34" t="n"/>
      <c r="T61" s="35" t="n"/>
      <c r="U61" s="34" t="n"/>
      <c r="V61" s="35" t="n"/>
      <c r="W61" s="34" t="n"/>
      <c r="X61" s="35" t="n"/>
      <c r="Y61" s="34" t="n"/>
      <c r="Z61" s="35" t="n"/>
      <c r="AA61" s="34" t="n"/>
      <c r="AB61" s="35" t="n"/>
      <c r="AC61" s="34" t="n"/>
      <c r="AD61" s="35" t="n"/>
      <c r="AE61" s="34" t="n"/>
      <c r="AF61" s="35" t="n"/>
      <c r="AG61" s="34" t="n"/>
      <c r="AH61" s="35" t="n"/>
      <c r="AI61" s="34" t="n"/>
      <c r="AJ61" s="35" t="n"/>
      <c r="AK61" s="34" t="n"/>
      <c r="AL61" s="35" t="n"/>
      <c r="AM61" s="33" t="n"/>
      <c r="AN61" s="33" t="n"/>
      <c r="AO61" s="33" t="n"/>
      <c r="AP61" s="33" t="n"/>
      <c r="AQ61" s="34" t="n"/>
      <c r="AR61" s="35" t="n"/>
      <c r="AS61" s="34" t="n"/>
      <c r="AT61" s="35" t="n"/>
      <c r="AU61" s="34" t="n"/>
      <c r="AV61" s="35" t="n"/>
      <c r="AW61" s="34" t="n"/>
      <c r="AX61" s="35" t="n"/>
      <c r="AY61" s="34" t="n"/>
      <c r="AZ61" s="35" t="n"/>
      <c r="BA61" s="34" t="n"/>
      <c r="BB61" s="35" t="n"/>
      <c r="BC61" s="34" t="n"/>
      <c r="BD61" s="35" t="n"/>
      <c r="BE61" s="34" t="n"/>
      <c r="BF61" s="35" t="n"/>
    </row>
    <row r="62" ht="30" customHeight="1">
      <c r="A62" s="32" t="inlineStr">
        <is>
          <t>55</t>
        </is>
      </c>
      <c r="B62" s="14" t="inlineStr">
        <is>
          <t>Hire commission-based BD person (close new clients)</t>
        </is>
      </c>
      <c r="C62" s="32" t="inlineStr">
        <is>
          <t>De Villiers</t>
        </is>
      </c>
      <c r="D62" s="32" t="inlineStr">
        <is>
          <t>Phase 4</t>
        </is>
      </c>
      <c r="E62" s="32" t="inlineStr">
        <is>
          <t>Not Started</t>
        </is>
      </c>
      <c r="F62" s="32" t="inlineStr">
        <is>
          <t>$2,000 base + 10% of first 3 months/client</t>
        </is>
      </c>
      <c r="G62" s="34" t="n"/>
      <c r="H62" s="35" t="n"/>
      <c r="I62" s="34" t="n"/>
      <c r="J62" s="35" t="n"/>
      <c r="K62" s="34" t="n"/>
      <c r="L62" s="35" t="n"/>
      <c r="M62" s="34" t="n"/>
      <c r="N62" s="35" t="n"/>
      <c r="O62" s="34" t="n"/>
      <c r="P62" s="35" t="n"/>
      <c r="Q62" s="34" t="n"/>
      <c r="R62" s="35" t="n"/>
      <c r="S62" s="34" t="n"/>
      <c r="T62" s="35" t="n"/>
      <c r="U62" s="34" t="n"/>
      <c r="V62" s="35" t="n"/>
      <c r="W62" s="34" t="n"/>
      <c r="X62" s="35" t="n"/>
      <c r="Y62" s="34" t="n"/>
      <c r="Z62" s="35" t="n"/>
      <c r="AA62" s="34" t="n"/>
      <c r="AB62" s="35" t="n"/>
      <c r="AC62" s="34" t="n"/>
      <c r="AD62" s="35" t="n"/>
      <c r="AE62" s="34" t="n"/>
      <c r="AF62" s="35" t="n"/>
      <c r="AG62" s="34" t="n"/>
      <c r="AH62" s="35" t="n"/>
      <c r="AI62" s="34" t="n"/>
      <c r="AJ62" s="35" t="n"/>
      <c r="AK62" s="34" t="n"/>
      <c r="AL62" s="35" t="n"/>
      <c r="AM62" s="34" t="n"/>
      <c r="AN62" s="35" t="n"/>
      <c r="AO62" s="34" t="n"/>
      <c r="AP62" s="35" t="n"/>
      <c r="AQ62" s="33" t="n"/>
      <c r="AR62" s="33" t="n"/>
      <c r="AS62" s="33" t="n"/>
      <c r="AT62" s="33" t="n"/>
      <c r="AU62" s="33" t="n"/>
      <c r="AV62" s="33" t="n"/>
      <c r="AW62" s="34" t="n"/>
      <c r="AX62" s="35" t="n"/>
      <c r="AY62" s="34" t="n"/>
      <c r="AZ62" s="35" t="n"/>
      <c r="BA62" s="34" t="n"/>
      <c r="BB62" s="35" t="n"/>
      <c r="BC62" s="34" t="n"/>
      <c r="BD62" s="35" t="n"/>
      <c r="BE62" s="34" t="n"/>
      <c r="BF62" s="35" t="n"/>
    </row>
    <row r="63" ht="30" customHeight="1">
      <c r="A63" s="36" t="inlineStr">
        <is>
          <t>56</t>
        </is>
      </c>
      <c r="B63" s="8" t="inlineStr">
        <is>
          <t>Introduce CRM integration add-on ($500/month)</t>
        </is>
      </c>
      <c r="C63" s="36" t="inlineStr">
        <is>
          <t>De Villiers</t>
        </is>
      </c>
      <c r="D63" s="36" t="inlineStr">
        <is>
          <t>Phase 4</t>
        </is>
      </c>
      <c r="E63" s="36" t="inlineStr">
        <is>
          <t>Not Started</t>
        </is>
      </c>
      <c r="F63" s="36" t="inlineStr"/>
      <c r="G63" s="34" t="n"/>
      <c r="H63" s="35" t="n"/>
      <c r="I63" s="34" t="n"/>
      <c r="J63" s="35" t="n"/>
      <c r="K63" s="34" t="n"/>
      <c r="L63" s="35" t="n"/>
      <c r="M63" s="34" t="n"/>
      <c r="N63" s="35" t="n"/>
      <c r="O63" s="34" t="n"/>
      <c r="P63" s="35" t="n"/>
      <c r="Q63" s="34" t="n"/>
      <c r="R63" s="35" t="n"/>
      <c r="S63" s="34" t="n"/>
      <c r="T63" s="35" t="n"/>
      <c r="U63" s="34" t="n"/>
      <c r="V63" s="35" t="n"/>
      <c r="W63" s="34" t="n"/>
      <c r="X63" s="35" t="n"/>
      <c r="Y63" s="34" t="n"/>
      <c r="Z63" s="35" t="n"/>
      <c r="AA63" s="34" t="n"/>
      <c r="AB63" s="35" t="n"/>
      <c r="AC63" s="34" t="n"/>
      <c r="AD63" s="35" t="n"/>
      <c r="AE63" s="34" t="n"/>
      <c r="AF63" s="35" t="n"/>
      <c r="AG63" s="34" t="n"/>
      <c r="AH63" s="35" t="n"/>
      <c r="AI63" s="34" t="n"/>
      <c r="AJ63" s="35" t="n"/>
      <c r="AK63" s="34" t="n"/>
      <c r="AL63" s="35" t="n"/>
      <c r="AM63" s="34" t="n"/>
      <c r="AN63" s="35" t="n"/>
      <c r="AO63" s="33" t="n"/>
      <c r="AP63" s="33" t="n"/>
      <c r="AQ63" s="33" t="n"/>
      <c r="AR63" s="33" t="n"/>
      <c r="AS63" s="33" t="n"/>
      <c r="AT63" s="35" t="n"/>
      <c r="AU63" s="34" t="n"/>
      <c r="AV63" s="35" t="n"/>
      <c r="AW63" s="34" t="n"/>
      <c r="AX63" s="35" t="n"/>
      <c r="AY63" s="34" t="n"/>
      <c r="AZ63" s="35" t="n"/>
      <c r="BA63" s="34" t="n"/>
      <c r="BB63" s="35" t="n"/>
      <c r="BC63" s="34" t="n"/>
      <c r="BD63" s="35" t="n"/>
      <c r="BE63" s="34" t="n"/>
      <c r="BF63" s="35" t="n"/>
    </row>
    <row r="64" ht="30" customHeight="1">
      <c r="A64" s="32" t="inlineStr">
        <is>
          <t>57</t>
        </is>
      </c>
      <c r="B64" s="14" t="inlineStr">
        <is>
          <t>Expand to 5th and 6th verticals</t>
        </is>
      </c>
      <c r="C64" s="32" t="inlineStr">
        <is>
          <t>De Villiers</t>
        </is>
      </c>
      <c r="D64" s="32" t="inlineStr">
        <is>
          <t>Phase 4</t>
        </is>
      </c>
      <c r="E64" s="32" t="inlineStr">
        <is>
          <t>Not Started</t>
        </is>
      </c>
      <c r="F64" s="32" t="inlineStr">
        <is>
          <t>Collaborate with Marinus on strategy</t>
        </is>
      </c>
      <c r="G64" s="34" t="n"/>
      <c r="H64" s="35" t="n"/>
      <c r="I64" s="34" t="n"/>
      <c r="J64" s="35" t="n"/>
      <c r="K64" s="34" t="n"/>
      <c r="L64" s="35" t="n"/>
      <c r="M64" s="34" t="n"/>
      <c r="N64" s="35" t="n"/>
      <c r="O64" s="34" t="n"/>
      <c r="P64" s="35" t="n"/>
      <c r="Q64" s="34" t="n"/>
      <c r="R64" s="35" t="n"/>
      <c r="S64" s="34" t="n"/>
      <c r="T64" s="35" t="n"/>
      <c r="U64" s="34" t="n"/>
      <c r="V64" s="35" t="n"/>
      <c r="W64" s="34" t="n"/>
      <c r="X64" s="35" t="n"/>
      <c r="Y64" s="34" t="n"/>
      <c r="Z64" s="35" t="n"/>
      <c r="AA64" s="34" t="n"/>
      <c r="AB64" s="35" t="n"/>
      <c r="AC64" s="34" t="n"/>
      <c r="AD64" s="35" t="n"/>
      <c r="AE64" s="34" t="n"/>
      <c r="AF64" s="35" t="n"/>
      <c r="AG64" s="34" t="n"/>
      <c r="AH64" s="35" t="n"/>
      <c r="AI64" s="34" t="n"/>
      <c r="AJ64" s="35" t="n"/>
      <c r="AK64" s="34" t="n"/>
      <c r="AL64" s="35" t="n"/>
      <c r="AM64" s="34" t="n"/>
      <c r="AN64" s="35" t="n"/>
      <c r="AO64" s="34" t="n"/>
      <c r="AP64" s="35" t="n"/>
      <c r="AQ64" s="33" t="n"/>
      <c r="AR64" s="33" t="n"/>
      <c r="AS64" s="33" t="n"/>
      <c r="AT64" s="33" t="n"/>
      <c r="AU64" s="33" t="n"/>
      <c r="AV64" s="33" t="n"/>
      <c r="AW64" s="33" t="n"/>
      <c r="AX64" s="33" t="n"/>
      <c r="AY64" s="34" t="n"/>
      <c r="AZ64" s="35" t="n"/>
      <c r="BA64" s="34" t="n"/>
      <c r="BB64" s="35" t="n"/>
      <c r="BC64" s="34" t="n"/>
      <c r="BD64" s="35" t="n"/>
      <c r="BE64" s="34" t="n"/>
      <c r="BF64" s="35" t="n"/>
    </row>
    <row r="65" ht="30" customHeight="1">
      <c r="A65" s="36" t="inlineStr">
        <is>
          <t>58</t>
        </is>
      </c>
      <c r="B65" s="8" t="inlineStr">
        <is>
          <t>Quarterly business review with Marinus (portfolio health)</t>
        </is>
      </c>
      <c r="C65" s="36" t="inlineStr">
        <is>
          <t>De Villiers + Marinus</t>
        </is>
      </c>
      <c r="D65" s="36" t="inlineStr">
        <is>
          <t>Phase 4</t>
        </is>
      </c>
      <c r="E65" s="36" t="inlineStr">
        <is>
          <t>Not Started</t>
        </is>
      </c>
      <c r="F65" s="36" t="inlineStr">
        <is>
          <t>Strategic direction for Year 2</t>
        </is>
      </c>
      <c r="G65" s="34" t="n"/>
      <c r="H65" s="35" t="n"/>
      <c r="I65" s="34" t="n"/>
      <c r="J65" s="35" t="n"/>
      <c r="K65" s="34" t="n"/>
      <c r="L65" s="35" t="n"/>
      <c r="M65" s="34" t="n"/>
      <c r="N65" s="35" t="n"/>
      <c r="O65" s="34" t="n"/>
      <c r="P65" s="35" t="n"/>
      <c r="Q65" s="34" t="n"/>
      <c r="R65" s="35" t="n"/>
      <c r="S65" s="34" t="n"/>
      <c r="T65" s="35" t="n"/>
      <c r="U65" s="34" t="n"/>
      <c r="V65" s="35" t="n"/>
      <c r="W65" s="34" t="n"/>
      <c r="X65" s="35" t="n"/>
      <c r="Y65" s="34" t="n"/>
      <c r="Z65" s="35" t="n"/>
      <c r="AA65" s="34" t="n"/>
      <c r="AB65" s="35" t="n"/>
      <c r="AC65" s="34" t="n"/>
      <c r="AD65" s="35" t="n"/>
      <c r="AE65" s="34" t="n"/>
      <c r="AF65" s="35" t="n"/>
      <c r="AG65" s="34" t="n"/>
      <c r="AH65" s="35" t="n"/>
      <c r="AI65" s="34" t="n"/>
      <c r="AJ65" s="35" t="n"/>
      <c r="AK65" s="34" t="n"/>
      <c r="AL65" s="35" t="n"/>
      <c r="AM65" s="34" t="n"/>
      <c r="AN65" s="35" t="n"/>
      <c r="AO65" s="34" t="n"/>
      <c r="AP65" s="35" t="n"/>
      <c r="AQ65" s="34" t="n"/>
      <c r="AR65" s="35" t="n"/>
      <c r="AS65" s="34" t="n"/>
      <c r="AT65" s="33" t="n"/>
      <c r="AU65" s="33" t="n"/>
      <c r="AV65" s="33" t="n"/>
      <c r="AW65" s="33" t="n"/>
      <c r="AX65" s="33" t="n"/>
      <c r="AY65" s="33" t="n"/>
      <c r="AZ65" s="33" t="n"/>
      <c r="BA65" s="33" t="n"/>
      <c r="BB65" s="33" t="n"/>
      <c r="BC65" s="33" t="n"/>
      <c r="BD65" s="33" t="n"/>
      <c r="BE65" s="33" t="n"/>
      <c r="BF65" s="33" t="n"/>
    </row>
    <row r="66" ht="30" customHeight="1">
      <c r="A66" s="32" t="inlineStr">
        <is>
          <t>59</t>
        </is>
      </c>
      <c r="B66" s="14" t="inlineStr">
        <is>
          <t>Optimise guarantee delivery rates (target: &lt;5% payout months)</t>
        </is>
      </c>
      <c r="C66" s="32" t="inlineStr">
        <is>
          <t>De Villiers</t>
        </is>
      </c>
      <c r="D66" s="32" t="inlineStr">
        <is>
          <t>Phase 4</t>
        </is>
      </c>
      <c r="E66" s="32" t="inlineStr">
        <is>
          <t>Not Started</t>
        </is>
      </c>
      <c r="F66" s="32" t="inlineStr">
        <is>
          <t>Monitor per-client, per-vertical</t>
        </is>
      </c>
      <c r="G66" s="34" t="n"/>
      <c r="H66" s="35" t="n"/>
      <c r="I66" s="34" t="n"/>
      <c r="J66" s="35" t="n"/>
      <c r="K66" s="34" t="n"/>
      <c r="L66" s="35" t="n"/>
      <c r="M66" s="34" t="n"/>
      <c r="N66" s="35" t="n"/>
      <c r="O66" s="34" t="n"/>
      <c r="P66" s="35" t="n"/>
      <c r="Q66" s="34" t="n"/>
      <c r="R66" s="35" t="n"/>
      <c r="S66" s="34" t="n"/>
      <c r="T66" s="35" t="n"/>
      <c r="U66" s="34" t="n"/>
      <c r="V66" s="35" t="n"/>
      <c r="W66" s="34" t="n"/>
      <c r="X66" s="35" t="n"/>
      <c r="Y66" s="34" t="n"/>
      <c r="Z66" s="35" t="n"/>
      <c r="AA66" s="34" t="n"/>
      <c r="AB66" s="35" t="n"/>
      <c r="AC66" s="34" t="n"/>
      <c r="AD66" s="35" t="n"/>
      <c r="AE66" s="34" t="n"/>
      <c r="AF66" s="35" t="n"/>
      <c r="AG66" s="34" t="n"/>
      <c r="AH66" s="35" t="n"/>
      <c r="AI66" s="34" t="n"/>
      <c r="AJ66" s="35" t="n"/>
      <c r="AK66" s="34" t="n"/>
      <c r="AL66" s="35" t="n"/>
      <c r="AM66" s="33" t="n"/>
      <c r="AN66" s="33" t="n"/>
      <c r="AO66" s="33" t="n"/>
      <c r="AP66" s="33" t="n"/>
      <c r="AQ66" s="33" t="n"/>
      <c r="AR66" s="33" t="n"/>
      <c r="AS66" s="33" t="n"/>
      <c r="AT66" s="33" t="n"/>
      <c r="AU66" s="33" t="n"/>
      <c r="AV66" s="33" t="n"/>
      <c r="AW66" s="33" t="n"/>
      <c r="AX66" s="33" t="n"/>
      <c r="AY66" s="33" t="n"/>
      <c r="AZ66" s="33" t="n"/>
      <c r="BA66" s="33" t="n"/>
      <c r="BB66" s="33" t="n"/>
      <c r="BC66" s="33" t="n"/>
      <c r="BD66" s="33" t="n"/>
      <c r="BE66" s="33" t="n"/>
      <c r="BF66" s="33" t="n"/>
    </row>
    <row r="67" ht="30" customHeight="1">
      <c r="A67" s="36" t="inlineStr">
        <is>
          <t>60</t>
        </is>
      </c>
      <c r="B67" s="8" t="inlineStr">
        <is>
          <t>Build proprietary benchmark database (cross-client performance)</t>
        </is>
      </c>
      <c r="C67" s="36" t="inlineStr">
        <is>
          <t>De Villiers</t>
        </is>
      </c>
      <c r="D67" s="36" t="inlineStr">
        <is>
          <t>Phase 4</t>
        </is>
      </c>
      <c r="E67" s="36" t="inlineStr">
        <is>
          <t>Not Started</t>
        </is>
      </c>
      <c r="F67" s="36" t="inlineStr">
        <is>
          <t>This is the compound moat</t>
        </is>
      </c>
      <c r="G67" s="34" t="n"/>
      <c r="H67" s="35" t="n"/>
      <c r="I67" s="34" t="n"/>
      <c r="J67" s="35" t="n"/>
      <c r="K67" s="34" t="n"/>
      <c r="L67" s="35" t="n"/>
      <c r="M67" s="34" t="n"/>
      <c r="N67" s="35" t="n"/>
      <c r="O67" s="34" t="n"/>
      <c r="P67" s="35" t="n"/>
      <c r="Q67" s="34" t="n"/>
      <c r="R67" s="35" t="n"/>
      <c r="S67" s="34" t="n"/>
      <c r="T67" s="35" t="n"/>
      <c r="U67" s="34" t="n"/>
      <c r="V67" s="35" t="n"/>
      <c r="W67" s="34" t="n"/>
      <c r="X67" s="35" t="n"/>
      <c r="Y67" s="34" t="n"/>
      <c r="Z67" s="35" t="n"/>
      <c r="AA67" s="34" t="n"/>
      <c r="AB67" s="35" t="n"/>
      <c r="AC67" s="34" t="n"/>
      <c r="AD67" s="35" t="n"/>
      <c r="AE67" s="34" t="n"/>
      <c r="AF67" s="35" t="n"/>
      <c r="AG67" s="34" t="n"/>
      <c r="AH67" s="35" t="n"/>
      <c r="AI67" s="34" t="n"/>
      <c r="AJ67" s="35" t="n"/>
      <c r="AK67" s="34" t="n"/>
      <c r="AL67" s="35" t="n"/>
      <c r="AM67" s="34" t="n"/>
      <c r="AN67" s="35" t="n"/>
      <c r="AO67" s="34" t="n"/>
      <c r="AP67" s="35" t="n"/>
      <c r="AQ67" s="33" t="n"/>
      <c r="AR67" s="33" t="n"/>
      <c r="AS67" s="33" t="n"/>
      <c r="AT67" s="33" t="n"/>
      <c r="AU67" s="33" t="n"/>
      <c r="AV67" s="33" t="n"/>
      <c r="AW67" s="33" t="n"/>
      <c r="AX67" s="33" t="n"/>
      <c r="AY67" s="33" t="n"/>
      <c r="AZ67" s="33" t="n"/>
      <c r="BA67" s="33" t="n"/>
      <c r="BB67" s="33" t="n"/>
      <c r="BC67" s="33" t="n"/>
      <c r="BD67" s="33" t="n"/>
      <c r="BE67" s="33" t="n"/>
      <c r="BF67" s="33" t="n"/>
    </row>
    <row r="68" ht="30" customHeight="1">
      <c r="A68" s="39" t="inlineStr">
        <is>
          <t>61</t>
        </is>
      </c>
      <c r="B68" s="40" t="inlineStr">
        <is>
          <t>MILESTONE: 27 active clients, $80K+ MRR, 88%+ retention</t>
        </is>
      </c>
      <c r="C68" s="39" t="inlineStr">
        <is>
          <t>De Villiers</t>
        </is>
      </c>
      <c r="D68" s="39" t="inlineStr">
        <is>
          <t>Phase 4</t>
        </is>
      </c>
      <c r="E68" s="39" t="inlineStr">
        <is>
          <t>Not Started</t>
        </is>
      </c>
      <c r="F68" s="39" t="inlineStr">
        <is>
          <t>Target: end of Week 52</t>
        </is>
      </c>
      <c r="G68" s="34" t="n"/>
      <c r="H68" s="35" t="n"/>
      <c r="I68" s="34" t="n"/>
      <c r="J68" s="35" t="n"/>
      <c r="K68" s="34" t="n"/>
      <c r="L68" s="35" t="n"/>
      <c r="M68" s="34" t="n"/>
      <c r="N68" s="35" t="n"/>
      <c r="O68" s="34" t="n"/>
      <c r="P68" s="35" t="n"/>
      <c r="Q68" s="34" t="n"/>
      <c r="R68" s="35" t="n"/>
      <c r="S68" s="34" t="n"/>
      <c r="T68" s="35" t="n"/>
      <c r="U68" s="34" t="n"/>
      <c r="V68" s="35" t="n"/>
      <c r="W68" s="34" t="n"/>
      <c r="X68" s="35" t="n"/>
      <c r="Y68" s="34" t="n"/>
      <c r="Z68" s="35" t="n"/>
      <c r="AA68" s="34" t="n"/>
      <c r="AB68" s="35" t="n"/>
      <c r="AC68" s="34" t="n"/>
      <c r="AD68" s="35" t="n"/>
      <c r="AE68" s="34" t="n"/>
      <c r="AF68" s="35" t="n"/>
      <c r="AG68" s="34" t="n"/>
      <c r="AH68" s="35" t="n"/>
      <c r="AI68" s="34" t="n"/>
      <c r="AJ68" s="35" t="n"/>
      <c r="AK68" s="34" t="n"/>
      <c r="AL68" s="35" t="n"/>
      <c r="AM68" s="34" t="n"/>
      <c r="AN68" s="35" t="n"/>
      <c r="AO68" s="34" t="n"/>
      <c r="AP68" s="35" t="n"/>
      <c r="AQ68" s="34" t="n"/>
      <c r="AR68" s="35" t="n"/>
      <c r="AS68" s="34" t="n"/>
      <c r="AT68" s="35" t="n"/>
      <c r="AU68" s="34" t="n"/>
      <c r="AV68" s="35" t="n"/>
      <c r="AW68" s="34" t="n"/>
      <c r="AX68" s="35" t="n"/>
      <c r="AY68" s="34" t="n"/>
      <c r="AZ68" s="35" t="n"/>
      <c r="BA68" s="34" t="n"/>
      <c r="BB68" s="35" t="n"/>
      <c r="BC68" s="34" t="n"/>
      <c r="BD68" s="35" t="n"/>
      <c r="BE68" s="34" t="n"/>
      <c r="BF68" s="41" t="n"/>
    </row>
  </sheetData>
  <mergeCells count="6">
    <mergeCell ref="A60:BF60"/>
    <mergeCell ref="A2:F2"/>
    <mergeCell ref="A1:F1"/>
    <mergeCell ref="A34:BF34"/>
    <mergeCell ref="A4:BF4"/>
    <mergeCell ref="A48:BF48"/>
  </mergeCells>
  <dataValidations count="1">
    <dataValidation sqref="E5 E6 E7 E8 E9 E10 E11 E12 E13 E14 E15 E16 E17 E18 E19 E20 E21 E22 E23 E24 E25 E26 E27 E28 E29 E30 E31 E32 E33 E35 E36 E37 E38 E39 E40 E41 E42 E43 E44 E45 E46 E47 E49 E50 E51 E52 E53 E54 E55 E56 E57 E58 E59 E61 E62 E63 E64 E65 E66 E67 E68" showDropDown="0" showInputMessage="0" showErrorMessage="0" allowBlank="1" type="list">
      <formula1>"Not Started,In Progress,Complete,Blocked"</formula1>
    </dataValidation>
  </dataValidations>
  <pageMargins left="0.75" right="0.75" top="1" bottom="1" header="0.5" footer="0.5"/>
</worksheet>
</file>

<file path=xl/worksheets/sheet3.xml><?xml version="1.0" encoding="utf-8"?>
<worksheet xmlns="http://schemas.openxmlformats.org/spreadsheetml/2006/main">
  <sheetPr>
    <tabColor rgb="001E8449"/>
    <outlinePr summaryBelow="1" summaryRight="1"/>
    <pageSetUpPr/>
  </sheetPr>
  <dimension ref="A1:O45"/>
  <sheetViews>
    <sheetView workbookViewId="0">
      <selection activeCell="A1" sqref="A1"/>
    </sheetView>
  </sheetViews>
  <sheetFormatPr baseColWidth="8" defaultRowHeight="15"/>
  <cols>
    <col width="4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ht="26" customHeight="1">
      <c r="A1" s="44" t="inlineStr">
        <is>
          <t>LEADFLOW AI V2 — BUDGET MODEL (Polsia-Augmented | Independent Stripe | No Revenue Share)</t>
        </is>
      </c>
    </row>
    <row r="2">
      <c r="A2" s="45" t="inlineStr">
        <is>
          <t>Blue = inputs (change these) | Black = formulas | De Villiers (Lead) | Marinus (Collaborator) | Base Case | See Scenarios tab for Conservative/Aggressive</t>
        </is>
      </c>
    </row>
    <row r="3">
      <c r="A3" s="4" t="inlineStr"/>
      <c r="B3" s="4" t="inlineStr">
        <is>
          <t>Month 0
(Setup)</t>
        </is>
      </c>
      <c r="C3" s="4" t="inlineStr">
        <is>
          <t>Month 1</t>
        </is>
      </c>
      <c r="D3" s="4" t="inlineStr">
        <is>
          <t>Month 2</t>
        </is>
      </c>
      <c r="E3" s="4" t="inlineStr">
        <is>
          <t>Month 3</t>
        </is>
      </c>
      <c r="F3" s="4" t="inlineStr">
        <is>
          <t>Month 4</t>
        </is>
      </c>
      <c r="G3" s="4" t="inlineStr">
        <is>
          <t>Month 5</t>
        </is>
      </c>
      <c r="H3" s="4" t="inlineStr">
        <is>
          <t>Month 6</t>
        </is>
      </c>
      <c r="I3" s="4" t="inlineStr">
        <is>
          <t>Month 7</t>
        </is>
      </c>
      <c r="J3" s="4" t="inlineStr">
        <is>
          <t>Month 8</t>
        </is>
      </c>
      <c r="K3" s="4" t="inlineStr">
        <is>
          <t>Month 9</t>
        </is>
      </c>
      <c r="L3" s="4" t="inlineStr">
        <is>
          <t>Month 10</t>
        </is>
      </c>
      <c r="M3" s="4" t="inlineStr">
        <is>
          <t>Month 11</t>
        </is>
      </c>
      <c r="N3" s="4" t="inlineStr">
        <is>
          <t>Month 12</t>
        </is>
      </c>
      <c r="O3" s="4" t="inlineStr">
        <is>
          <t>TOTAL</t>
        </is>
      </c>
    </row>
    <row r="4">
      <c r="A4" s="46" t="inlineStr">
        <is>
          <t>STARTUP INVESTMENT (ONE-TIME) — Month 0</t>
        </is>
      </c>
    </row>
    <row r="5">
      <c r="A5" s="47" t="inlineStr">
        <is>
          <t>Domain purchases (8 sending + 1 primary)</t>
        </is>
      </c>
      <c r="B5" s="48" t="n">
        <v>120</v>
      </c>
      <c r="C5" s="48" t="n">
        <v>0</v>
      </c>
      <c r="D5" s="48" t="n">
        <v>0</v>
      </c>
      <c r="E5" s="48" t="n">
        <v>0</v>
      </c>
      <c r="F5" s="48" t="n">
        <v>0</v>
      </c>
      <c r="G5" s="48" t="n">
        <v>0</v>
      </c>
      <c r="H5" s="48" t="n">
        <v>0</v>
      </c>
      <c r="I5" s="48" t="n">
        <v>0</v>
      </c>
      <c r="J5" s="48" t="n">
        <v>0</v>
      </c>
      <c r="K5" s="48" t="n">
        <v>0</v>
      </c>
      <c r="L5" s="48" t="n">
        <v>0</v>
      </c>
      <c r="M5" s="48" t="n">
        <v>0</v>
      </c>
      <c r="N5" s="48" t="n">
        <v>0</v>
      </c>
      <c r="O5" s="49">
        <f>SUM(B5:N5)</f>
        <v/>
      </c>
    </row>
    <row r="6">
      <c r="A6" s="50" t="inlineStr">
        <is>
          <t>Instantly.ai setup (first month)</t>
        </is>
      </c>
      <c r="B6" s="51" t="n">
        <v>97</v>
      </c>
      <c r="C6" s="51" t="n">
        <v>0</v>
      </c>
      <c r="D6" s="51" t="n">
        <v>0</v>
      </c>
      <c r="E6" s="51" t="n">
        <v>0</v>
      </c>
      <c r="F6" s="51" t="n">
        <v>0</v>
      </c>
      <c r="G6" s="51" t="n">
        <v>0</v>
      </c>
      <c r="H6" s="51" t="n">
        <v>0</v>
      </c>
      <c r="I6" s="51" t="n">
        <v>0</v>
      </c>
      <c r="J6" s="51" t="n">
        <v>0</v>
      </c>
      <c r="K6" s="51" t="n">
        <v>0</v>
      </c>
      <c r="L6" s="51" t="n">
        <v>0</v>
      </c>
      <c r="M6" s="51" t="n">
        <v>0</v>
      </c>
      <c r="N6" s="51" t="n">
        <v>0</v>
      </c>
      <c r="O6" s="49">
        <f>SUM(B6:N6)</f>
        <v/>
      </c>
    </row>
    <row r="7">
      <c r="A7" s="47" t="inlineStr">
        <is>
          <t>Apollo.io setup (first month)</t>
        </is>
      </c>
      <c r="B7" s="48" t="n">
        <v>99</v>
      </c>
      <c r="C7" s="48" t="n">
        <v>0</v>
      </c>
      <c r="D7" s="48" t="n">
        <v>0</v>
      </c>
      <c r="E7" s="48" t="n">
        <v>0</v>
      </c>
      <c r="F7" s="48" t="n">
        <v>0</v>
      </c>
      <c r="G7" s="48" t="n">
        <v>0</v>
      </c>
      <c r="H7" s="48" t="n">
        <v>0</v>
      </c>
      <c r="I7" s="48" t="n">
        <v>0</v>
      </c>
      <c r="J7" s="48" t="n">
        <v>0</v>
      </c>
      <c r="K7" s="48" t="n">
        <v>0</v>
      </c>
      <c r="L7" s="48" t="n">
        <v>0</v>
      </c>
      <c r="M7" s="48" t="n">
        <v>0</v>
      </c>
      <c r="N7" s="48" t="n">
        <v>0</v>
      </c>
      <c r="O7" s="49">
        <f>SUM(B7:N7)</f>
        <v/>
      </c>
    </row>
    <row r="8">
      <c r="A8" s="50" t="inlineStr">
        <is>
          <t>Brand assets (logo, templates, V2 guarantee materials)</t>
        </is>
      </c>
      <c r="B8" s="51" t="n">
        <v>300</v>
      </c>
      <c r="C8" s="51" t="n">
        <v>0</v>
      </c>
      <c r="D8" s="51" t="n">
        <v>0</v>
      </c>
      <c r="E8" s="51" t="n">
        <v>0</v>
      </c>
      <c r="F8" s="51" t="n">
        <v>0</v>
      </c>
      <c r="G8" s="51" t="n">
        <v>0</v>
      </c>
      <c r="H8" s="51" t="n">
        <v>0</v>
      </c>
      <c r="I8" s="51" t="n">
        <v>0</v>
      </c>
      <c r="J8" s="51" t="n">
        <v>0</v>
      </c>
      <c r="K8" s="51" t="n">
        <v>0</v>
      </c>
      <c r="L8" s="51" t="n">
        <v>0</v>
      </c>
      <c r="M8" s="51" t="n">
        <v>0</v>
      </c>
      <c r="N8" s="51" t="n">
        <v>0</v>
      </c>
      <c r="O8" s="49">
        <f>SUM(B8:N8)</f>
        <v/>
      </c>
    </row>
    <row r="9">
      <c r="A9" s="47" t="inlineStr">
        <is>
          <t>Website / landing page (V2 guarantee messaging)</t>
        </is>
      </c>
      <c r="B9" s="48" t="n">
        <v>19</v>
      </c>
      <c r="C9" s="48" t="n">
        <v>0</v>
      </c>
      <c r="D9" s="48" t="n">
        <v>0</v>
      </c>
      <c r="E9" s="48" t="n">
        <v>0</v>
      </c>
      <c r="F9" s="48" t="n">
        <v>0</v>
      </c>
      <c r="G9" s="48" t="n">
        <v>0</v>
      </c>
      <c r="H9" s="48" t="n">
        <v>0</v>
      </c>
      <c r="I9" s="48" t="n">
        <v>0</v>
      </c>
      <c r="J9" s="48" t="n">
        <v>0</v>
      </c>
      <c r="K9" s="48" t="n">
        <v>0</v>
      </c>
      <c r="L9" s="48" t="n">
        <v>0</v>
      </c>
      <c r="M9" s="48" t="n">
        <v>0</v>
      </c>
      <c r="N9" s="48" t="n">
        <v>0</v>
      </c>
      <c r="O9" s="49">
        <f>SUM(B9:N9)</f>
        <v/>
      </c>
    </row>
    <row r="10">
      <c r="A10" s="50" t="inlineStr">
        <is>
          <t>Legal (T&amp;Cs, guarantee terms, privacy policy)</t>
        </is>
      </c>
      <c r="B10" s="51" t="n">
        <v>600</v>
      </c>
      <c r="C10" s="51" t="n">
        <v>0</v>
      </c>
      <c r="D10" s="51" t="n">
        <v>0</v>
      </c>
      <c r="E10" s="51" t="n">
        <v>0</v>
      </c>
      <c r="F10" s="51" t="n">
        <v>0</v>
      </c>
      <c r="G10" s="51" t="n">
        <v>0</v>
      </c>
      <c r="H10" s="51" t="n">
        <v>0</v>
      </c>
      <c r="I10" s="51" t="n">
        <v>0</v>
      </c>
      <c r="J10" s="51" t="n">
        <v>0</v>
      </c>
      <c r="K10" s="51" t="n">
        <v>0</v>
      </c>
      <c r="L10" s="51" t="n">
        <v>0</v>
      </c>
      <c r="M10" s="51" t="n">
        <v>0</v>
      </c>
      <c r="N10" s="51" t="n">
        <v>0</v>
      </c>
      <c r="O10" s="49">
        <f>SUM(B10:N10)</f>
        <v/>
      </c>
    </row>
    <row r="11">
      <c r="A11" s="47" t="inlineStr">
        <is>
          <t>Contingency</t>
        </is>
      </c>
      <c r="B11" s="48" t="n">
        <v>500</v>
      </c>
      <c r="C11" s="48" t="n">
        <v>0</v>
      </c>
      <c r="D11" s="48" t="n">
        <v>0</v>
      </c>
      <c r="E11" s="48" t="n">
        <v>0</v>
      </c>
      <c r="F11" s="48" t="n">
        <v>0</v>
      </c>
      <c r="G11" s="48" t="n">
        <v>0</v>
      </c>
      <c r="H11" s="48" t="n">
        <v>0</v>
      </c>
      <c r="I11" s="48" t="n">
        <v>0</v>
      </c>
      <c r="J11" s="48" t="n">
        <v>0</v>
      </c>
      <c r="K11" s="48" t="n">
        <v>0</v>
      </c>
      <c r="L11" s="48" t="n">
        <v>0</v>
      </c>
      <c r="M11" s="48" t="n">
        <v>0</v>
      </c>
      <c r="N11" s="48" t="n">
        <v>0</v>
      </c>
      <c r="O11" s="49">
        <f>SUM(B11:N11)</f>
        <v/>
      </c>
    </row>
    <row r="12">
      <c r="A12" s="46" t="inlineStr">
        <is>
          <t>Total Startup Investment</t>
        </is>
      </c>
      <c r="B12" s="52">
        <f>SUM(B5:B11)</f>
        <v/>
      </c>
      <c r="C12" s="52">
        <f>SUM(C5:C11)</f>
        <v/>
      </c>
      <c r="D12" s="52">
        <f>SUM(D5:D11)</f>
        <v/>
      </c>
      <c r="E12" s="52">
        <f>SUM(E5:E11)</f>
        <v/>
      </c>
      <c r="F12" s="52">
        <f>SUM(F5:F11)</f>
        <v/>
      </c>
      <c r="G12" s="52">
        <f>SUM(G5:G11)</f>
        <v/>
      </c>
      <c r="H12" s="52">
        <f>SUM(H5:H11)</f>
        <v/>
      </c>
      <c r="I12" s="52">
        <f>SUM(I5:I11)</f>
        <v/>
      </c>
      <c r="J12" s="52">
        <f>SUM(J5:J11)</f>
        <v/>
      </c>
      <c r="K12" s="52">
        <f>SUM(K5:K11)</f>
        <v/>
      </c>
      <c r="L12" s="52">
        <f>SUM(L5:L11)</f>
        <v/>
      </c>
      <c r="M12" s="52">
        <f>SUM(M5:M11)</f>
        <v/>
      </c>
      <c r="N12" s="52">
        <f>SUM(N5:N11)</f>
        <v/>
      </c>
      <c r="O12" s="52">
        <f>SUM(O5:O11)</f>
        <v/>
      </c>
    </row>
    <row r="14">
      <c r="A14" s="46" t="inlineStr">
        <is>
          <t>MONTHLY OPERATING COSTS (V2 — Independent Infrastructure)</t>
        </is>
      </c>
    </row>
    <row r="15">
      <c r="A15" s="53" t="inlineStr">
        <is>
          <t>Active Clients (assumption — change these blue numbers)</t>
        </is>
      </c>
      <c r="B15" s="54" t="n">
        <v>0</v>
      </c>
      <c r="C15" s="54" t="n">
        <v>2</v>
      </c>
      <c r="D15" s="54" t="n">
        <v>4</v>
      </c>
      <c r="E15" s="54" t="n">
        <v>6</v>
      </c>
      <c r="F15" s="54" t="n">
        <v>8</v>
      </c>
      <c r="G15" s="54" t="n">
        <v>12</v>
      </c>
      <c r="H15" s="54" t="n">
        <v>15</v>
      </c>
      <c r="I15" s="54" t="n">
        <v>18</v>
      </c>
      <c r="J15" s="54" t="n">
        <v>20</v>
      </c>
      <c r="K15" s="54" t="n">
        <v>23</v>
      </c>
      <c r="L15" s="54" t="n">
        <v>25</v>
      </c>
      <c r="M15" s="54" t="n">
        <v>28</v>
      </c>
      <c r="N15" s="54" t="n">
        <v>27</v>
      </c>
      <c r="O15" s="55" t="inlineStr"/>
    </row>
    <row r="16">
      <c r="A16" s="47" t="inlineStr">
        <is>
          <t>Instantly.ai (base $97 + $30/extra mailbox per client)</t>
        </is>
      </c>
      <c r="B16" s="48" t="n">
        <v>97</v>
      </c>
      <c r="C16" s="56">
        <f>97+30*C15</f>
        <v/>
      </c>
      <c r="D16" s="56">
        <f>97+30*D15</f>
        <v/>
      </c>
      <c r="E16" s="56">
        <f>97+30*E15</f>
        <v/>
      </c>
      <c r="F16" s="56">
        <f>97+30*F15</f>
        <v/>
      </c>
      <c r="G16" s="56">
        <f>97+30*G15</f>
        <v/>
      </c>
      <c r="H16" s="56">
        <f>97+30*H15</f>
        <v/>
      </c>
      <c r="I16" s="56">
        <f>97+30*I15</f>
        <v/>
      </c>
      <c r="J16" s="56">
        <f>97+30*J15</f>
        <v/>
      </c>
      <c r="K16" s="56">
        <f>97+30*K15</f>
        <v/>
      </c>
      <c r="L16" s="56">
        <f>97+30*L15</f>
        <v/>
      </c>
      <c r="M16" s="56">
        <f>97+30*M15</f>
        <v/>
      </c>
      <c r="N16" s="56">
        <f>97+30*N15</f>
        <v/>
      </c>
      <c r="O16" s="49">
        <f>SUM(B16:N16)</f>
        <v/>
      </c>
    </row>
    <row r="17">
      <c r="A17" s="50" t="inlineStr">
        <is>
          <t>Apollo.io (Pro plan, fixed)</t>
        </is>
      </c>
      <c r="B17" s="51" t="n">
        <v>99</v>
      </c>
      <c r="C17" s="51" t="n">
        <v>99</v>
      </c>
      <c r="D17" s="51" t="n">
        <v>99</v>
      </c>
      <c r="E17" s="51" t="n">
        <v>99</v>
      </c>
      <c r="F17" s="51" t="n">
        <v>99</v>
      </c>
      <c r="G17" s="51" t="n">
        <v>99</v>
      </c>
      <c r="H17" s="51" t="n">
        <v>99</v>
      </c>
      <c r="I17" s="51" t="n">
        <v>99</v>
      </c>
      <c r="J17" s="51" t="n">
        <v>99</v>
      </c>
      <c r="K17" s="51" t="n">
        <v>99</v>
      </c>
      <c r="L17" s="51" t="n">
        <v>99</v>
      </c>
      <c r="M17" s="51" t="n">
        <v>99</v>
      </c>
      <c r="N17" s="51" t="n">
        <v>99</v>
      </c>
      <c r="O17" s="49">
        <f>SUM(B17:N17)</f>
        <v/>
      </c>
    </row>
    <row r="18">
      <c r="A18" s="47" t="inlineStr">
        <is>
          <t>HubSpot CRM</t>
        </is>
      </c>
      <c r="B18" s="48" t="n">
        <v>0</v>
      </c>
      <c r="C18" s="48" t="n">
        <v>0</v>
      </c>
      <c r="D18" s="48" t="n">
        <v>0</v>
      </c>
      <c r="E18" s="48" t="n">
        <v>0</v>
      </c>
      <c r="F18" s="48" t="n">
        <v>50</v>
      </c>
      <c r="G18" s="48" t="n">
        <v>50</v>
      </c>
      <c r="H18" s="48" t="n">
        <v>50</v>
      </c>
      <c r="I18" s="48" t="n">
        <v>50</v>
      </c>
      <c r="J18" s="48" t="n">
        <v>50</v>
      </c>
      <c r="K18" s="48" t="n">
        <v>50</v>
      </c>
      <c r="L18" s="48" t="n">
        <v>50</v>
      </c>
      <c r="M18" s="48" t="n">
        <v>50</v>
      </c>
      <c r="N18" s="48" t="n">
        <v>50</v>
      </c>
      <c r="O18" s="49">
        <f>SUM(B18:N18)</f>
        <v/>
      </c>
    </row>
    <row r="19">
      <c r="A19" s="50" t="inlineStr">
        <is>
          <t>Polsia (AI co-pilot — single instance)</t>
        </is>
      </c>
      <c r="B19" s="51" t="n">
        <v>0</v>
      </c>
      <c r="C19" s="51" t="n">
        <v>49</v>
      </c>
      <c r="D19" s="51" t="n">
        <v>49</v>
      </c>
      <c r="E19" s="51" t="n">
        <v>49</v>
      </c>
      <c r="F19" s="51" t="n">
        <v>49</v>
      </c>
      <c r="G19" s="51" t="n">
        <v>49</v>
      </c>
      <c r="H19" s="51" t="n">
        <v>49</v>
      </c>
      <c r="I19" s="51" t="n">
        <v>49</v>
      </c>
      <c r="J19" s="51" t="n">
        <v>49</v>
      </c>
      <c r="K19" s="51" t="n">
        <v>49</v>
      </c>
      <c r="L19" s="51" t="n">
        <v>49</v>
      </c>
      <c r="M19" s="51" t="n">
        <v>49</v>
      </c>
      <c r="N19" s="51" t="n">
        <v>49</v>
      </c>
      <c r="O19" s="49">
        <f>SUM(B19:N19)</f>
        <v/>
      </c>
    </row>
    <row r="20">
      <c r="A20" s="47" t="inlineStr">
        <is>
          <t>Expandi / Dripify (LinkedIn)</t>
        </is>
      </c>
      <c r="B20" s="48" t="n">
        <v>0</v>
      </c>
      <c r="C20" s="48" t="n">
        <v>0</v>
      </c>
      <c r="D20" s="48" t="n">
        <v>99</v>
      </c>
      <c r="E20" s="48" t="n">
        <v>99</v>
      </c>
      <c r="F20" s="48" t="n">
        <v>99</v>
      </c>
      <c r="G20" s="48" t="n">
        <v>99</v>
      </c>
      <c r="H20" s="48" t="n">
        <v>99</v>
      </c>
      <c r="I20" s="48" t="n">
        <v>99</v>
      </c>
      <c r="J20" s="48" t="n">
        <v>99</v>
      </c>
      <c r="K20" s="48" t="n">
        <v>99</v>
      </c>
      <c r="L20" s="48" t="n">
        <v>99</v>
      </c>
      <c r="M20" s="48" t="n">
        <v>99</v>
      </c>
      <c r="N20" s="48" t="n">
        <v>99</v>
      </c>
      <c r="O20" s="49">
        <f>SUM(B20:N20)</f>
        <v/>
      </c>
    </row>
    <row r="21">
      <c r="A21" s="50" t="inlineStr">
        <is>
          <t>Website + Analytics</t>
        </is>
      </c>
      <c r="B21" s="51" t="n">
        <v>19</v>
      </c>
      <c r="C21" s="51" t="n">
        <v>19</v>
      </c>
      <c r="D21" s="51" t="n">
        <v>19</v>
      </c>
      <c r="E21" s="51" t="n">
        <v>19</v>
      </c>
      <c r="F21" s="51" t="n">
        <v>19</v>
      </c>
      <c r="G21" s="51" t="n">
        <v>19</v>
      </c>
      <c r="H21" s="51" t="n">
        <v>19</v>
      </c>
      <c r="I21" s="51" t="n">
        <v>19</v>
      </c>
      <c r="J21" s="51" t="n">
        <v>19</v>
      </c>
      <c r="K21" s="51" t="n">
        <v>19</v>
      </c>
      <c r="L21" s="51" t="n">
        <v>19</v>
      </c>
      <c r="M21" s="51" t="n">
        <v>19</v>
      </c>
      <c r="N21" s="51" t="n">
        <v>19</v>
      </c>
      <c r="O21" s="49">
        <f>SUM(B21:N21)</f>
        <v/>
      </c>
    </row>
    <row r="22">
      <c r="A22" s="47" t="inlineStr">
        <is>
          <t>Own client acquisition outbound spend</t>
        </is>
      </c>
      <c r="B22" s="48" t="n">
        <v>500</v>
      </c>
      <c r="C22" s="48" t="n">
        <v>1000</v>
      </c>
      <c r="D22" s="48" t="n">
        <v>1500</v>
      </c>
      <c r="E22" s="48" t="n">
        <v>2000</v>
      </c>
      <c r="F22" s="48" t="n">
        <v>2500</v>
      </c>
      <c r="G22" s="48" t="n">
        <v>3000</v>
      </c>
      <c r="H22" s="48" t="n">
        <v>3000</v>
      </c>
      <c r="I22" s="48" t="n">
        <v>3500</v>
      </c>
      <c r="J22" s="48" t="n">
        <v>3500</v>
      </c>
      <c r="K22" s="48" t="n">
        <v>4000</v>
      </c>
      <c r="L22" s="48" t="n">
        <v>4000</v>
      </c>
      <c r="M22" s="48" t="n">
        <v>4500</v>
      </c>
      <c r="N22" s="48" t="n">
        <v>5000</v>
      </c>
      <c r="O22" s="49">
        <f>SUM(B22:N22)</f>
        <v/>
      </c>
    </row>
    <row r="23">
      <c r="A23" s="50" t="inlineStr">
        <is>
          <t>Paid advertising (Google/Meta)</t>
        </is>
      </c>
      <c r="B23" s="51" t="n">
        <v>0</v>
      </c>
      <c r="C23" s="51" t="n">
        <v>0</v>
      </c>
      <c r="D23" s="51" t="n">
        <v>0</v>
      </c>
      <c r="E23" s="51" t="n">
        <v>500</v>
      </c>
      <c r="F23" s="51" t="n">
        <v>1000</v>
      </c>
      <c r="G23" s="51" t="n">
        <v>1500</v>
      </c>
      <c r="H23" s="51" t="n">
        <v>1500</v>
      </c>
      <c r="I23" s="51" t="n">
        <v>1500</v>
      </c>
      <c r="J23" s="51" t="n">
        <v>1500</v>
      </c>
      <c r="K23" s="51" t="n">
        <v>1500</v>
      </c>
      <c r="L23" s="51" t="n">
        <v>1500</v>
      </c>
      <c r="M23" s="51" t="n">
        <v>1500</v>
      </c>
      <c r="N23" s="51" t="n">
        <v>1500</v>
      </c>
      <c r="O23" s="49">
        <f>SUM(B23:N23)</f>
        <v/>
      </c>
    </row>
    <row r="24">
      <c r="A24" s="47" t="inlineStr">
        <is>
          <t>Content creation / freelancers</t>
        </is>
      </c>
      <c r="B24" s="48" t="n">
        <v>0</v>
      </c>
      <c r="C24" s="48" t="n">
        <v>500</v>
      </c>
      <c r="D24" s="48" t="n">
        <v>500</v>
      </c>
      <c r="E24" s="48" t="n">
        <v>500</v>
      </c>
      <c r="F24" s="48" t="n">
        <v>750</v>
      </c>
      <c r="G24" s="48" t="n">
        <v>1000</v>
      </c>
      <c r="H24" s="48" t="n">
        <v>1000</v>
      </c>
      <c r="I24" s="48" t="n">
        <v>1000</v>
      </c>
      <c r="J24" s="48" t="n">
        <v>1000</v>
      </c>
      <c r="K24" s="48" t="n">
        <v>1000</v>
      </c>
      <c r="L24" s="48" t="n">
        <v>1000</v>
      </c>
      <c r="M24" s="48" t="n">
        <v>1000</v>
      </c>
      <c r="N24" s="48" t="n">
        <v>1000</v>
      </c>
      <c r="O24" s="49">
        <f>SUM(B24:N24)</f>
        <v/>
      </c>
    </row>
    <row r="25">
      <c r="A25" s="50" t="inlineStr">
        <is>
          <t>Virtual Assistant(s)</t>
        </is>
      </c>
      <c r="B25" s="51" t="n">
        <v>0</v>
      </c>
      <c r="C25" s="51" t="n">
        <v>0</v>
      </c>
      <c r="D25" s="51" t="n">
        <v>0</v>
      </c>
      <c r="E25" s="51" t="n">
        <v>0</v>
      </c>
      <c r="F25" s="51" t="n">
        <v>800</v>
      </c>
      <c r="G25" s="51" t="n">
        <v>800</v>
      </c>
      <c r="H25" s="51" t="n">
        <v>1000</v>
      </c>
      <c r="I25" s="51" t="n">
        <v>1000</v>
      </c>
      <c r="J25" s="51" t="n">
        <v>1200</v>
      </c>
      <c r="K25" s="51" t="n">
        <v>2400</v>
      </c>
      <c r="L25" s="51" t="n">
        <v>2400</v>
      </c>
      <c r="M25" s="51" t="n">
        <v>2400</v>
      </c>
      <c r="N25" s="51" t="n">
        <v>2400</v>
      </c>
      <c r="O25" s="49">
        <f>SUM(B25:N25)</f>
        <v/>
      </c>
    </row>
    <row r="26">
      <c r="A26" s="47" t="inlineStr">
        <is>
          <t>Commission-based BD person</t>
        </is>
      </c>
      <c r="B26" s="48" t="n">
        <v>0</v>
      </c>
      <c r="C26" s="48" t="n">
        <v>0</v>
      </c>
      <c r="D26" s="48" t="n">
        <v>0</v>
      </c>
      <c r="E26" s="48" t="n">
        <v>0</v>
      </c>
      <c r="F26" s="48" t="n">
        <v>0</v>
      </c>
      <c r="G26" s="48" t="n">
        <v>0</v>
      </c>
      <c r="H26" s="48" t="n">
        <v>0</v>
      </c>
      <c r="I26" s="48" t="n">
        <v>0</v>
      </c>
      <c r="J26" s="48" t="n">
        <v>0</v>
      </c>
      <c r="K26" s="48" t="n">
        <v>0</v>
      </c>
      <c r="L26" s="48" t="n">
        <v>2000</v>
      </c>
      <c r="M26" s="48" t="n">
        <v>2000</v>
      </c>
      <c r="N26" s="48" t="n">
        <v>2000</v>
      </c>
      <c r="O26" s="49">
        <f>SUM(B26:N26)</f>
        <v/>
      </c>
    </row>
    <row r="27">
      <c r="A27" s="50" t="inlineStr">
        <is>
          <t>Guarantee payouts (est. 7% of months, avg $2,500 payout)</t>
        </is>
      </c>
      <c r="B27" s="51" t="n">
        <v>0</v>
      </c>
      <c r="C27" s="57">
        <f>ROUND(C15*0.07*2500,0)</f>
        <v/>
      </c>
      <c r="D27" s="57">
        <f>ROUND(D15*0.07*2500,0)</f>
        <v/>
      </c>
      <c r="E27" s="57">
        <f>ROUND(E15*0.07*2500,0)</f>
        <v/>
      </c>
      <c r="F27" s="57">
        <f>ROUND(F15*0.07*2500,0)</f>
        <v/>
      </c>
      <c r="G27" s="57">
        <f>ROUND(G15*0.07*2500,0)</f>
        <v/>
      </c>
      <c r="H27" s="57">
        <f>ROUND(H15*0.07*2500,0)</f>
        <v/>
      </c>
      <c r="I27" s="57">
        <f>ROUND(I15*0.07*2500,0)</f>
        <v/>
      </c>
      <c r="J27" s="57">
        <f>ROUND(J15*0.07*2500,0)</f>
        <v/>
      </c>
      <c r="K27" s="57">
        <f>ROUND(K15*0.07*2500,0)</f>
        <v/>
      </c>
      <c r="L27" s="57">
        <f>ROUND(L15*0.07*2500,0)</f>
        <v/>
      </c>
      <c r="M27" s="57">
        <f>ROUND(M15*0.07*2500,0)</f>
        <v/>
      </c>
      <c r="N27" s="57">
        <f>ROUND(N15*0.07*2500,0)</f>
        <v/>
      </c>
      <c r="O27" s="49">
        <f>SUM(B27:N27)</f>
        <v/>
      </c>
    </row>
    <row r="28">
      <c r="A28" s="47" t="inlineStr">
        <is>
          <t>Miscellaneous / buffer</t>
        </is>
      </c>
      <c r="B28" s="48" t="n">
        <v>200</v>
      </c>
      <c r="C28" s="48" t="n">
        <v>300</v>
      </c>
      <c r="D28" s="48" t="n">
        <v>300</v>
      </c>
      <c r="E28" s="48" t="n">
        <v>400</v>
      </c>
      <c r="F28" s="48" t="n">
        <v>400</v>
      </c>
      <c r="G28" s="48" t="n">
        <v>500</v>
      </c>
      <c r="H28" s="48" t="n">
        <v>500</v>
      </c>
      <c r="I28" s="48" t="n">
        <v>500</v>
      </c>
      <c r="J28" s="48" t="n">
        <v>500</v>
      </c>
      <c r="K28" s="48" t="n">
        <v>500</v>
      </c>
      <c r="L28" s="48" t="n">
        <v>500</v>
      </c>
      <c r="M28" s="48" t="n">
        <v>500</v>
      </c>
      <c r="N28" s="48" t="n">
        <v>500</v>
      </c>
      <c r="O28" s="49">
        <f>SUM(B28:N28)</f>
        <v/>
      </c>
    </row>
    <row r="29">
      <c r="A29" s="46" t="inlineStr">
        <is>
          <t>Total Monthly Operating Costs</t>
        </is>
      </c>
      <c r="B29" s="52">
        <f>SUM(B16:B28)</f>
        <v/>
      </c>
      <c r="C29" s="52">
        <f>SUM(C16:C28)</f>
        <v/>
      </c>
      <c r="D29" s="52">
        <f>SUM(D16:D28)</f>
        <v/>
      </c>
      <c r="E29" s="52">
        <f>SUM(E16:E28)</f>
        <v/>
      </c>
      <c r="F29" s="52">
        <f>SUM(F16:F28)</f>
        <v/>
      </c>
      <c r="G29" s="52">
        <f>SUM(G16:G28)</f>
        <v/>
      </c>
      <c r="H29" s="52">
        <f>SUM(H16:H28)</f>
        <v/>
      </c>
      <c r="I29" s="52">
        <f>SUM(I16:I28)</f>
        <v/>
      </c>
      <c r="J29" s="52">
        <f>SUM(J16:J28)</f>
        <v/>
      </c>
      <c r="K29" s="52">
        <f>SUM(K16:K28)</f>
        <v/>
      </c>
      <c r="L29" s="52">
        <f>SUM(L16:L28)</f>
        <v/>
      </c>
      <c r="M29" s="52">
        <f>SUM(M16:M28)</f>
        <v/>
      </c>
      <c r="N29" s="52">
        <f>SUM(N16:N28)</f>
        <v/>
      </c>
      <c r="O29" s="52">
        <f>SUM(O16:O28)</f>
        <v/>
      </c>
    </row>
    <row r="31">
      <c r="A31" s="58" t="inlineStr">
        <is>
          <t>REVENUE (100% retained — $0 Polsia revenue share | YOUR Stripe account)</t>
        </is>
      </c>
    </row>
    <row r="32">
      <c r="A32" s="53" t="inlineStr">
        <is>
          <t>Average retainer per client ($ — change blue numbers)</t>
        </is>
      </c>
      <c r="B32" s="59" t="n">
        <v>0</v>
      </c>
      <c r="C32" s="59" t="n">
        <v>0</v>
      </c>
      <c r="D32" s="59" t="n">
        <v>2500</v>
      </c>
      <c r="E32" s="59" t="n">
        <v>2700</v>
      </c>
      <c r="F32" s="59" t="n">
        <v>2800</v>
      </c>
      <c r="G32" s="59" t="n">
        <v>3000</v>
      </c>
      <c r="H32" s="59" t="n">
        <v>3000</v>
      </c>
      <c r="I32" s="59" t="n">
        <v>3100</v>
      </c>
      <c r="J32" s="59" t="n">
        <v>3200</v>
      </c>
      <c r="K32" s="59" t="n">
        <v>3200</v>
      </c>
      <c r="L32" s="59" t="n">
        <v>3300</v>
      </c>
      <c r="M32" s="59" t="n">
        <v>3400</v>
      </c>
      <c r="N32" s="59" t="n">
        <v>3500</v>
      </c>
      <c r="O32" s="60" t="n"/>
    </row>
    <row r="33">
      <c r="A33" s="61" t="inlineStr">
        <is>
          <t>Retainer revenue (clients x avg retainer)</t>
        </is>
      </c>
      <c r="B33" s="62">
        <f>B15*B32</f>
        <v/>
      </c>
      <c r="C33" s="62">
        <f>C15*C32</f>
        <v/>
      </c>
      <c r="D33" s="62">
        <f>D15*D32</f>
        <v/>
      </c>
      <c r="E33" s="62">
        <f>E15*E32</f>
        <v/>
      </c>
      <c r="F33" s="62">
        <f>F15*F32</f>
        <v/>
      </c>
      <c r="G33" s="62">
        <f>G15*G32</f>
        <v/>
      </c>
      <c r="H33" s="62">
        <f>H15*H32</f>
        <v/>
      </c>
      <c r="I33" s="62">
        <f>I15*I32</f>
        <v/>
      </c>
      <c r="J33" s="62">
        <f>J15*J32</f>
        <v/>
      </c>
      <c r="K33" s="62">
        <f>K15*K32</f>
        <v/>
      </c>
      <c r="L33" s="62">
        <f>L15*L32</f>
        <v/>
      </c>
      <c r="M33" s="62">
        <f>M15*M32</f>
        <v/>
      </c>
      <c r="N33" s="62">
        <f>N15*N32</f>
        <v/>
      </c>
      <c r="O33" s="62">
        <f>SUM(B33:N33)</f>
        <v/>
      </c>
    </row>
    <row r="34">
      <c r="A34" s="61" t="inlineStr">
        <is>
          <t>Ad spend markup (15% on avg $2,000 managed spend x clients)</t>
        </is>
      </c>
      <c r="B34" s="62">
        <f>ROUND(B15*2000*0.15,0)</f>
        <v/>
      </c>
      <c r="C34" s="62">
        <f>ROUND(C15*2000*0.15,0)</f>
        <v/>
      </c>
      <c r="D34" s="62">
        <f>ROUND(D15*2000*0.15,0)</f>
        <v/>
      </c>
      <c r="E34" s="62">
        <f>ROUND(E15*2000*0.15,0)</f>
        <v/>
      </c>
      <c r="F34" s="62">
        <f>ROUND(F15*2000*0.15,0)</f>
        <v/>
      </c>
      <c r="G34" s="62">
        <f>ROUND(G15*2000*0.15,0)</f>
        <v/>
      </c>
      <c r="H34" s="62">
        <f>ROUND(H15*2000*0.15,0)</f>
        <v/>
      </c>
      <c r="I34" s="62">
        <f>ROUND(I15*2000*0.15,0)</f>
        <v/>
      </c>
      <c r="J34" s="62">
        <f>ROUND(J15*2000*0.15,0)</f>
        <v/>
      </c>
      <c r="K34" s="62">
        <f>ROUND(K15*2000*0.15,0)</f>
        <v/>
      </c>
      <c r="L34" s="62">
        <f>ROUND(L15*2000*0.15,0)</f>
        <v/>
      </c>
      <c r="M34" s="62">
        <f>ROUND(M15*2000*0.15,0)</f>
        <v/>
      </c>
      <c r="N34" s="62">
        <f>ROUND(N15*2000*0.15,0)</f>
        <v/>
      </c>
      <c r="O34" s="62">
        <f>SUM(B34:N34)</f>
        <v/>
      </c>
    </row>
    <row r="35">
      <c r="A35" s="61" t="inlineStr">
        <is>
          <t>Setup fees ($1,500 x new clients, first month each)</t>
        </is>
      </c>
      <c r="B35" s="63" t="n">
        <v>0</v>
      </c>
      <c r="C35" s="63" t="n">
        <v>3000</v>
      </c>
      <c r="D35" s="63" t="n">
        <v>3000</v>
      </c>
      <c r="E35" s="63" t="n">
        <v>3000</v>
      </c>
      <c r="F35" s="63" t="n">
        <v>3000</v>
      </c>
      <c r="G35" s="63" t="n">
        <v>6000</v>
      </c>
      <c r="H35" s="63" t="n">
        <v>4500</v>
      </c>
      <c r="I35" s="63" t="n">
        <v>4500</v>
      </c>
      <c r="J35" s="63" t="n">
        <v>3000</v>
      </c>
      <c r="K35" s="63" t="n">
        <v>4500</v>
      </c>
      <c r="L35" s="63" t="n">
        <v>3000</v>
      </c>
      <c r="M35" s="63" t="n">
        <v>4500</v>
      </c>
      <c r="N35" s="63" t="n">
        <v>3000</v>
      </c>
      <c r="O35" s="62">
        <f>SUM(B35:N35)</f>
        <v/>
      </c>
    </row>
    <row r="36">
      <c r="A36" s="61" t="inlineStr">
        <is>
          <t>Premium add-ons ($200/month x clients from Month 5)</t>
        </is>
      </c>
      <c r="B36" s="62">
        <f>MAX(0,B15-10)*200</f>
        <v/>
      </c>
      <c r="C36" s="62">
        <f>MAX(0,C15-10)*200</f>
        <v/>
      </c>
      <c r="D36" s="62">
        <f>MAX(0,D15-10)*200</f>
        <v/>
      </c>
      <c r="E36" s="62">
        <f>MAX(0,E15-10)*200</f>
        <v/>
      </c>
      <c r="F36" s="62">
        <f>MAX(0,F15-10)*200</f>
        <v/>
      </c>
      <c r="G36" s="62">
        <f>MAX(0,G15-10)*200</f>
        <v/>
      </c>
      <c r="H36" s="62">
        <f>MAX(0,H15-10)*200</f>
        <v/>
      </c>
      <c r="I36" s="62">
        <f>MAX(0,I15-10)*200</f>
        <v/>
      </c>
      <c r="J36" s="62">
        <f>MAX(0,J15-10)*200</f>
        <v/>
      </c>
      <c r="K36" s="62">
        <f>MAX(0,K15-10)*200</f>
        <v/>
      </c>
      <c r="L36" s="62">
        <f>MAX(0,L15-10)*200</f>
        <v/>
      </c>
      <c r="M36" s="62">
        <f>MAX(0,M15-10)*200</f>
        <v/>
      </c>
      <c r="N36" s="62">
        <f>MAX(0,N15-10)*200</f>
        <v/>
      </c>
      <c r="O36" s="62">
        <f>SUM(B36:N36)</f>
        <v/>
      </c>
    </row>
    <row r="37">
      <c r="A37" s="27" t="inlineStr">
        <is>
          <t>Total Gross Revenue</t>
        </is>
      </c>
      <c r="B37" s="64">
        <f>SUM(B33:B36)</f>
        <v/>
      </c>
      <c r="C37" s="64">
        <f>SUM(C33:C36)</f>
        <v/>
      </c>
      <c r="D37" s="64">
        <f>SUM(D33:D36)</f>
        <v/>
      </c>
      <c r="E37" s="64">
        <f>SUM(E33:E36)</f>
        <v/>
      </c>
      <c r="F37" s="64">
        <f>SUM(F33:F36)</f>
        <v/>
      </c>
      <c r="G37" s="64">
        <f>SUM(G33:G36)</f>
        <v/>
      </c>
      <c r="H37" s="64">
        <f>SUM(H33:H36)</f>
        <v/>
      </c>
      <c r="I37" s="64">
        <f>SUM(I33:I36)</f>
        <v/>
      </c>
      <c r="J37" s="64">
        <f>SUM(J33:J36)</f>
        <v/>
      </c>
      <c r="K37" s="64">
        <f>SUM(K33:K36)</f>
        <v/>
      </c>
      <c r="L37" s="64">
        <f>SUM(L33:L36)</f>
        <v/>
      </c>
      <c r="M37" s="64">
        <f>SUM(M33:M36)</f>
        <v/>
      </c>
      <c r="N37" s="64">
        <f>SUM(N33:N36)</f>
        <v/>
      </c>
      <c r="O37" s="64">
        <f>SUM(B37:N37)</f>
        <v/>
      </c>
    </row>
    <row r="39">
      <c r="A39" s="46" t="inlineStr">
        <is>
          <t>PROFITABILITY (V2 — No Polsia Revenue Share | YOUR Stripe | Guarantee Model)</t>
        </is>
      </c>
    </row>
    <row r="40">
      <c r="A40" s="65" t="inlineStr">
        <is>
          <t>Gross Revenue</t>
        </is>
      </c>
      <c r="B40" s="66">
        <f>B37</f>
        <v/>
      </c>
      <c r="C40" s="66">
        <f>C37</f>
        <v/>
      </c>
      <c r="D40" s="66">
        <f>D37</f>
        <v/>
      </c>
      <c r="E40" s="66">
        <f>E37</f>
        <v/>
      </c>
      <c r="F40" s="66">
        <f>F37</f>
        <v/>
      </c>
      <c r="G40" s="66">
        <f>G37</f>
        <v/>
      </c>
      <c r="H40" s="66">
        <f>H37</f>
        <v/>
      </c>
      <c r="I40" s="66">
        <f>I37</f>
        <v/>
      </c>
      <c r="J40" s="66">
        <f>J37</f>
        <v/>
      </c>
      <c r="K40" s="66">
        <f>K37</f>
        <v/>
      </c>
      <c r="L40" s="66">
        <f>L37</f>
        <v/>
      </c>
      <c r="M40" s="66">
        <f>M37</f>
        <v/>
      </c>
      <c r="N40" s="66">
        <f>N37</f>
        <v/>
      </c>
      <c r="O40" s="66">
        <f>O37</f>
        <v/>
      </c>
    </row>
    <row r="41">
      <c r="A41" s="67" t="inlineStr">
        <is>
          <t>Total Operating Costs</t>
        </is>
      </c>
      <c r="B41" s="68">
        <f>B29</f>
        <v/>
      </c>
      <c r="C41" s="68">
        <f>C29</f>
        <v/>
      </c>
      <c r="D41" s="68">
        <f>D29</f>
        <v/>
      </c>
      <c r="E41" s="68">
        <f>E29</f>
        <v/>
      </c>
      <c r="F41" s="68">
        <f>F29</f>
        <v/>
      </c>
      <c r="G41" s="68">
        <f>G29</f>
        <v/>
      </c>
      <c r="H41" s="68">
        <f>H29</f>
        <v/>
      </c>
      <c r="I41" s="68">
        <f>I29</f>
        <v/>
      </c>
      <c r="J41" s="68">
        <f>J29</f>
        <v/>
      </c>
      <c r="K41" s="68">
        <f>K29</f>
        <v/>
      </c>
      <c r="L41" s="68">
        <f>L29</f>
        <v/>
      </c>
      <c r="M41" s="68">
        <f>M29</f>
        <v/>
      </c>
      <c r="N41" s="68">
        <f>N29</f>
        <v/>
      </c>
      <c r="O41" s="68">
        <f>O29</f>
        <v/>
      </c>
    </row>
    <row r="42">
      <c r="A42" s="67" t="inlineStr">
        <is>
          <t>Startup Costs</t>
        </is>
      </c>
      <c r="B42" s="68">
        <f>B12</f>
        <v/>
      </c>
      <c r="C42" s="68">
        <f>C12</f>
        <v/>
      </c>
      <c r="D42" s="68">
        <f>D12</f>
        <v/>
      </c>
      <c r="E42" s="68">
        <f>E12</f>
        <v/>
      </c>
      <c r="F42" s="68">
        <f>F12</f>
        <v/>
      </c>
      <c r="G42" s="68">
        <f>G12</f>
        <v/>
      </c>
      <c r="H42" s="68">
        <f>H12</f>
        <v/>
      </c>
      <c r="I42" s="68">
        <f>I12</f>
        <v/>
      </c>
      <c r="J42" s="68">
        <f>J12</f>
        <v/>
      </c>
      <c r="K42" s="68">
        <f>K12</f>
        <v/>
      </c>
      <c r="L42" s="68">
        <f>L12</f>
        <v/>
      </c>
      <c r="M42" s="68">
        <f>M12</f>
        <v/>
      </c>
      <c r="N42" s="68">
        <f>N12</f>
        <v/>
      </c>
      <c r="O42" s="68">
        <f>O12</f>
        <v/>
      </c>
    </row>
    <row r="43">
      <c r="A43" s="69" t="inlineStr">
        <is>
          <t>Net Cashflow (V2 Polsia-Augmented)</t>
        </is>
      </c>
      <c r="B43" s="70">
        <f>B40-B41-B42</f>
        <v/>
      </c>
      <c r="C43" s="70">
        <f>C40-C41-C42</f>
        <v/>
      </c>
      <c r="D43" s="70">
        <f>D40-D41-D42</f>
        <v/>
      </c>
      <c r="E43" s="70">
        <f>E40-E41-E42</f>
        <v/>
      </c>
      <c r="F43" s="70">
        <f>F40-F41-F42</f>
        <v/>
      </c>
      <c r="G43" s="70">
        <f>G40-G41-G42</f>
        <v/>
      </c>
      <c r="H43" s="70">
        <f>H40-H41-H42</f>
        <v/>
      </c>
      <c r="I43" s="70">
        <f>I40-I41-I42</f>
        <v/>
      </c>
      <c r="J43" s="70">
        <f>J40-J41-J42</f>
        <v/>
      </c>
      <c r="K43" s="70">
        <f>K40-K41-K42</f>
        <v/>
      </c>
      <c r="L43" s="70">
        <f>L40-L41-L42</f>
        <v/>
      </c>
      <c r="M43" s="70">
        <f>M40-M41-M42</f>
        <v/>
      </c>
      <c r="N43" s="70">
        <f>N40-N41-N42</f>
        <v/>
      </c>
      <c r="O43" s="70">
        <f>O40-O41-O42</f>
        <v/>
      </c>
    </row>
    <row r="44">
      <c r="A44" s="69" t="inlineStr">
        <is>
          <t>Cumulative Cashflow</t>
        </is>
      </c>
      <c r="B44" s="71">
        <f>B43</f>
        <v/>
      </c>
      <c r="C44" s="71">
        <f>B44+C43</f>
        <v/>
      </c>
      <c r="D44" s="71">
        <f>C44+D43</f>
        <v/>
      </c>
      <c r="E44" s="71">
        <f>D44+E43</f>
        <v/>
      </c>
      <c r="F44" s="71">
        <f>E44+F43</f>
        <v/>
      </c>
      <c r="G44" s="71">
        <f>F44+G43</f>
        <v/>
      </c>
      <c r="H44" s="71">
        <f>G44+H43</f>
        <v/>
      </c>
      <c r="I44" s="71">
        <f>H44+I43</f>
        <v/>
      </c>
      <c r="J44" s="71">
        <f>I44+J43</f>
        <v/>
      </c>
      <c r="K44" s="71">
        <f>J44+K43</f>
        <v/>
      </c>
      <c r="L44" s="71">
        <f>K44+L43</f>
        <v/>
      </c>
      <c r="M44" s="71">
        <f>L44+M43</f>
        <v/>
      </c>
      <c r="N44" s="71">
        <f>M44+N43</f>
        <v/>
      </c>
      <c r="O44" s="71">
        <f>N44+O43</f>
        <v/>
      </c>
    </row>
    <row r="45">
      <c r="A45" s="72" t="inlineStr">
        <is>
          <t>Net Margin %</t>
        </is>
      </c>
      <c r="B45" s="73">
        <f>IFERROR(B43/B40,0)</f>
        <v/>
      </c>
      <c r="C45" s="73">
        <f>IFERROR(C43/C40,0)</f>
        <v/>
      </c>
      <c r="D45" s="73">
        <f>IFERROR(D43/D40,0)</f>
        <v/>
      </c>
      <c r="E45" s="73">
        <f>IFERROR(E43/E40,0)</f>
        <v/>
      </c>
      <c r="F45" s="73">
        <f>IFERROR(F43/F40,0)</f>
        <v/>
      </c>
      <c r="G45" s="73">
        <f>IFERROR(G43/G40,0)</f>
        <v/>
      </c>
      <c r="H45" s="73">
        <f>IFERROR(H43/H40,0)</f>
        <v/>
      </c>
      <c r="I45" s="73">
        <f>IFERROR(I43/I40,0)</f>
        <v/>
      </c>
      <c r="J45" s="73">
        <f>IFERROR(J43/J40,0)</f>
        <v/>
      </c>
      <c r="K45" s="73">
        <f>IFERROR(K43/K40,0)</f>
        <v/>
      </c>
      <c r="L45" s="73">
        <f>IFERROR(L43/L40,0)</f>
        <v/>
      </c>
      <c r="M45" s="73">
        <f>IFERROR(M43/M40,0)</f>
        <v/>
      </c>
      <c r="N45" s="73">
        <f>IFERROR(N43/N40,0)</f>
        <v/>
      </c>
      <c r="O45" s="73">
        <f>IFERROR(O43/O40,0)</f>
        <v/>
      </c>
    </row>
  </sheetData>
  <mergeCells count="7">
    <mergeCell ref="A12"/>
    <mergeCell ref="A2:O2"/>
    <mergeCell ref="A14:O14"/>
    <mergeCell ref="A1:O1"/>
    <mergeCell ref="A31:O31"/>
    <mergeCell ref="A4:O4"/>
    <mergeCell ref="A39:O39"/>
  </mergeCell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P18"/>
  <sheetViews>
    <sheetView workbookViewId="0">
      <selection activeCell="A1" sqref="A1"/>
    </sheetView>
  </sheetViews>
  <sheetFormatPr baseColWidth="8" defaultRowHeight="15"/>
  <cols>
    <col width="35" customWidth="1" min="1" max="1"/>
    <col width="20" customWidth="1" min="2" max="2"/>
    <col width="12" customWidth="1" min="3" max="3"/>
    <col width="16"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26" customHeight="1">
      <c r="A1" s="44" t="inlineStr">
        <is>
          <t>LEADFLOW AI V2 — STAFFING &amp; TIME COMMITMENT</t>
        </is>
      </c>
    </row>
    <row r="2">
      <c r="A2" s="2" t="inlineStr">
        <is>
          <t>De Villiers leads execution on almost all tasks. Marinus collaborates on strategy and key decisions. JigsawAI Initiative.</t>
        </is>
      </c>
    </row>
    <row r="3">
      <c r="A3" s="4" t="inlineStr">
        <is>
          <t>Role</t>
        </is>
      </c>
      <c r="B3" s="4" t="inlineStr">
        <is>
          <t>Type</t>
        </is>
      </c>
      <c r="C3" s="4" t="inlineStr">
        <is>
          <t>Start</t>
        </is>
      </c>
      <c r="D3" s="4" t="inlineStr">
        <is>
          <t>Monthly Cost</t>
        </is>
      </c>
      <c r="E3" s="4" t="inlineStr">
        <is>
          <t>M1</t>
        </is>
      </c>
      <c r="F3" s="4" t="inlineStr">
        <is>
          <t>M2</t>
        </is>
      </c>
      <c r="G3" s="4" t="inlineStr">
        <is>
          <t>M3</t>
        </is>
      </c>
      <c r="H3" s="4" t="inlineStr">
        <is>
          <t>M4</t>
        </is>
      </c>
      <c r="I3" s="4" t="inlineStr">
        <is>
          <t>M5</t>
        </is>
      </c>
      <c r="J3" s="4" t="inlineStr">
        <is>
          <t>M6</t>
        </is>
      </c>
      <c r="K3" s="4" t="inlineStr">
        <is>
          <t>M7</t>
        </is>
      </c>
      <c r="L3" s="4" t="inlineStr">
        <is>
          <t>M8</t>
        </is>
      </c>
      <c r="M3" s="4" t="inlineStr">
        <is>
          <t>M9</t>
        </is>
      </c>
      <c r="N3" s="4" t="inlineStr">
        <is>
          <t>M10</t>
        </is>
      </c>
      <c r="O3" s="4" t="inlineStr">
        <is>
          <t>M11</t>
        </is>
      </c>
      <c r="P3" s="4" t="inlineStr">
        <is>
          <t>M12</t>
        </is>
      </c>
    </row>
    <row r="4" ht="32" customHeight="1">
      <c r="A4" s="74" t="inlineStr">
        <is>
          <t>De Villiers (Lead — owns execution)</t>
        </is>
      </c>
      <c r="B4" s="75" t="inlineStr">
        <is>
          <t>Full oversight + execution</t>
        </is>
      </c>
      <c r="C4" s="75" t="inlineStr">
        <is>
          <t>Month 0</t>
        </is>
      </c>
      <c r="D4" s="75" t="inlineStr">
        <is>
          <t>$0 (equity)</t>
        </is>
      </c>
      <c r="E4" s="76" t="n">
        <v>22</v>
      </c>
      <c r="F4" s="76" t="n">
        <v>20</v>
      </c>
      <c r="G4" s="76" t="n">
        <v>18</v>
      </c>
      <c r="H4" s="76" t="n">
        <v>16</v>
      </c>
      <c r="I4" s="76" t="n">
        <v>14</v>
      </c>
      <c r="J4" s="76" t="n">
        <v>12</v>
      </c>
      <c r="K4" s="76" t="n">
        <v>10</v>
      </c>
      <c r="L4" s="76" t="n">
        <v>8</v>
      </c>
      <c r="M4" s="76" t="n">
        <v>8</v>
      </c>
      <c r="N4" s="76" t="n">
        <v>6</v>
      </c>
      <c r="O4" s="76" t="n">
        <v>6</v>
      </c>
      <c r="P4" s="76" t="n">
        <v>5</v>
      </c>
    </row>
    <row r="5" ht="32" customHeight="1">
      <c r="A5" s="77" t="inlineStr">
        <is>
          <t>Marinus (Strategy Collaborator)</t>
        </is>
      </c>
      <c r="B5" s="78" t="inlineStr">
        <is>
          <t>Monthly strategy review + ICP input</t>
        </is>
      </c>
      <c r="C5" s="78" t="inlineStr">
        <is>
          <t>Month 1</t>
        </is>
      </c>
      <c r="D5" s="78" t="inlineStr">
        <is>
          <t>$0 (equity)</t>
        </is>
      </c>
      <c r="E5" s="79" t="n">
        <v>4</v>
      </c>
      <c r="F5" s="79" t="n">
        <v>4</v>
      </c>
      <c r="G5" s="79" t="n">
        <v>4</v>
      </c>
      <c r="H5" s="79" t="n">
        <v>4</v>
      </c>
      <c r="I5" s="79" t="n">
        <v>4</v>
      </c>
      <c r="J5" s="79" t="n">
        <v>4</v>
      </c>
      <c r="K5" s="79" t="n">
        <v>4</v>
      </c>
      <c r="L5" s="79" t="n">
        <v>4</v>
      </c>
      <c r="M5" s="79" t="n">
        <v>4</v>
      </c>
      <c r="N5" s="79" t="n">
        <v>4</v>
      </c>
      <c r="O5" s="79" t="n">
        <v>4</v>
      </c>
      <c r="P5" s="79" t="n">
        <v>4</v>
      </c>
    </row>
    <row r="6" ht="32" customHeight="1">
      <c r="A6" s="80" t="inlineStr">
        <is>
          <t>Polsia AI Agent</t>
        </is>
      </c>
      <c r="B6" s="81" t="inlineStr">
        <is>
          <t>Co-pilot (NOT infrastructure)</t>
        </is>
      </c>
      <c r="C6" s="81" t="inlineStr">
        <is>
          <t>Month 1</t>
        </is>
      </c>
      <c r="D6" s="81" t="inlineStr">
        <is>
          <t>$49/mo flat</t>
        </is>
      </c>
      <c r="E6" s="82" t="inlineStr">
        <is>
          <t>Co-pilot</t>
        </is>
      </c>
      <c r="F6" s="82" t="inlineStr">
        <is>
          <t>Co-pilot</t>
        </is>
      </c>
      <c r="G6" s="82" t="inlineStr">
        <is>
          <t>Co-pilot</t>
        </is>
      </c>
      <c r="H6" s="82" t="inlineStr">
        <is>
          <t>Co-pilot</t>
        </is>
      </c>
      <c r="I6" s="82" t="inlineStr">
        <is>
          <t>Co-pilot</t>
        </is>
      </c>
      <c r="J6" s="82" t="inlineStr">
        <is>
          <t>Co-pilot</t>
        </is>
      </c>
      <c r="K6" s="82" t="inlineStr">
        <is>
          <t>Co-pilot</t>
        </is>
      </c>
      <c r="L6" s="82" t="inlineStr">
        <is>
          <t>Co-pilot</t>
        </is>
      </c>
      <c r="M6" s="82" t="inlineStr">
        <is>
          <t>Co-pilot</t>
        </is>
      </c>
      <c r="N6" s="82" t="inlineStr">
        <is>
          <t>Co-pilot</t>
        </is>
      </c>
      <c r="O6" s="82" t="inlineStr">
        <is>
          <t>Co-pilot</t>
        </is>
      </c>
      <c r="P6" s="82" t="inlineStr">
        <is>
          <t>Co-pilot</t>
        </is>
      </c>
    </row>
    <row r="7" ht="32" customHeight="1">
      <c r="A7" s="83" t="inlineStr">
        <is>
          <t>Virtual Assistant #1</t>
        </is>
      </c>
      <c r="B7" s="84" t="inlineStr">
        <is>
          <t>Part-time Contractor</t>
        </is>
      </c>
      <c r="C7" s="84" t="inlineStr">
        <is>
          <t>Month 4</t>
        </is>
      </c>
      <c r="D7" s="84" t="inlineStr">
        <is>
          <t>$800-$1,200</t>
        </is>
      </c>
      <c r="E7" s="85" t="n">
        <v>0</v>
      </c>
      <c r="F7" s="85" t="n">
        <v>0</v>
      </c>
      <c r="G7" s="85" t="n">
        <v>0</v>
      </c>
      <c r="H7" s="86" t="n">
        <v>20</v>
      </c>
      <c r="I7" s="86" t="n">
        <v>20</v>
      </c>
      <c r="J7" s="86" t="n">
        <v>20</v>
      </c>
      <c r="K7" s="86" t="n">
        <v>25</v>
      </c>
      <c r="L7" s="86" t="n">
        <v>25</v>
      </c>
      <c r="M7" s="86" t="n">
        <v>30</v>
      </c>
      <c r="N7" s="86" t="n">
        <v>30</v>
      </c>
      <c r="O7" s="86" t="n">
        <v>30</v>
      </c>
      <c r="P7" s="86" t="n">
        <v>30</v>
      </c>
    </row>
    <row r="8" ht="32" customHeight="1">
      <c r="A8" s="83" t="inlineStr">
        <is>
          <t>Virtual Assistant #2</t>
        </is>
      </c>
      <c r="B8" s="84" t="inlineStr">
        <is>
          <t>Part-time/Full-time</t>
        </is>
      </c>
      <c r="C8" s="84" t="inlineStr">
        <is>
          <t>Month 9</t>
        </is>
      </c>
      <c r="D8" s="84" t="inlineStr">
        <is>
          <t>$1,200-$2,000</t>
        </is>
      </c>
      <c r="E8" s="85" t="n">
        <v>0</v>
      </c>
      <c r="F8" s="85" t="n">
        <v>0</v>
      </c>
      <c r="G8" s="85" t="n">
        <v>0</v>
      </c>
      <c r="H8" s="85" t="n">
        <v>0</v>
      </c>
      <c r="I8" s="85" t="n">
        <v>0</v>
      </c>
      <c r="J8" s="85" t="n">
        <v>0</v>
      </c>
      <c r="K8" s="85" t="n">
        <v>0</v>
      </c>
      <c r="L8" s="85" t="n">
        <v>0</v>
      </c>
      <c r="M8" s="86" t="n">
        <v>20</v>
      </c>
      <c r="N8" s="86" t="n">
        <v>25</v>
      </c>
      <c r="O8" s="86" t="n">
        <v>25</v>
      </c>
      <c r="P8" s="86" t="n">
        <v>30</v>
      </c>
    </row>
    <row r="9" ht="32" customHeight="1">
      <c r="A9" s="87" t="inlineStr">
        <is>
          <t>BD / Sales (Commission)</t>
        </is>
      </c>
      <c r="B9" s="88" t="inlineStr">
        <is>
          <t>Commission-based</t>
        </is>
      </c>
      <c r="C9" s="88" t="inlineStr">
        <is>
          <t>Month 11</t>
        </is>
      </c>
      <c r="D9" s="88" t="inlineStr">
        <is>
          <t>$2,000+10% rev</t>
        </is>
      </c>
      <c r="E9" s="85" t="n">
        <v>0</v>
      </c>
      <c r="F9" s="85" t="n">
        <v>0</v>
      </c>
      <c r="G9" s="85" t="n">
        <v>0</v>
      </c>
      <c r="H9" s="85" t="n">
        <v>0</v>
      </c>
      <c r="I9" s="85" t="n">
        <v>0</v>
      </c>
      <c r="J9" s="85" t="n">
        <v>0</v>
      </c>
      <c r="K9" s="85" t="n">
        <v>0</v>
      </c>
      <c r="L9" s="85" t="n">
        <v>0</v>
      </c>
      <c r="M9" s="85" t="n">
        <v>0</v>
      </c>
      <c r="N9" s="85" t="n">
        <v>0</v>
      </c>
      <c r="O9" s="89" t="n">
        <v>15</v>
      </c>
      <c r="P9" s="89" t="n">
        <v>20</v>
      </c>
    </row>
    <row r="11">
      <c r="A11" s="24" t="inlineStr">
        <is>
          <t>KEY DIFFERENCES — V2 vs V1 PLAN</t>
        </is>
      </c>
    </row>
    <row r="12" ht="22" customHeight="1">
      <c r="A12" s="90" t="inlineStr">
        <is>
          <t>✓  V2 ownership: De Villiers owns almost all steps. Marinus reviews strategy monthly (ICPs, guarantee levels, portfolio direction).</t>
        </is>
      </c>
    </row>
    <row r="13" ht="22" customHeight="1">
      <c r="A13" s="91" t="inlineStr">
        <is>
          <t>✓  Months 1-3: +3-5 hours/week for human approval gates (De Villiers reviews all Polsia output before any client deployment).</t>
        </is>
      </c>
    </row>
    <row r="14" ht="22" customHeight="1">
      <c r="A14" s="90" t="inlineStr">
        <is>
          <t>✓  Months 4+: Approval gates faster as V2 playbooks are proven. New clients use approved templates with vertical-specific customisation.</t>
        </is>
      </c>
    </row>
    <row r="15" ht="22" customHeight="1">
      <c r="A15" s="91" t="inlineStr">
        <is>
          <t>✓  Polsia role: 'Drafts everything for De Villiers' approval' — not 'runs everything'. Quality control remains with De Villiers at all times.</t>
        </is>
      </c>
    </row>
    <row r="16" ht="22" customHeight="1">
      <c r="A16" s="90" t="inlineStr">
        <is>
          <t>✓  VAs trained on YOUR tools (Instantly, HubSpot, Expandi) — independent of Polsia interface for daily operations.</t>
        </is>
      </c>
    </row>
    <row r="17" ht="22" customHeight="1">
      <c r="A17" s="91" t="inlineStr">
        <is>
          <t>✓  Guarantee tracking: De Villiers monitors per-client meeting delivery weekly. Early intervention before guarantee payout triggers.</t>
        </is>
      </c>
    </row>
    <row r="18" ht="22" customHeight="1">
      <c r="A18" s="92" t="inlineStr">
        <is>
          <t>⚠  If Polsia unavailable: add 8-15 hrs/week manual work (content, analysis, sequence drafting). Claude API as fallback AI drafting tool.</t>
        </is>
      </c>
    </row>
  </sheetData>
  <mergeCells count="10">
    <mergeCell ref="A11:P11"/>
    <mergeCell ref="A13:P13"/>
    <mergeCell ref="A14:P14"/>
    <mergeCell ref="A1:P1"/>
    <mergeCell ref="A17:P17"/>
    <mergeCell ref="A18:P18"/>
    <mergeCell ref="A12:P12"/>
    <mergeCell ref="A16:P16"/>
    <mergeCell ref="A15:P15"/>
    <mergeCell ref="A2:P2"/>
  </mergeCells>
  <pageMargins left="0.75" right="0.75" top="1" bottom="1" header="0.5" footer="0.5"/>
</worksheet>
</file>

<file path=xl/worksheets/sheet5.xml><?xml version="1.0" encoding="utf-8"?>
<worksheet xmlns="http://schemas.openxmlformats.org/spreadsheetml/2006/main">
  <sheetPr>
    <tabColor rgb="00C0392B"/>
    <outlinePr summaryBelow="1" summaryRight="1"/>
    <pageSetUpPr/>
  </sheetPr>
  <dimension ref="A1:O41"/>
  <sheetViews>
    <sheetView workbookViewId="0">
      <selection activeCell="A1" sqref="A1"/>
    </sheetView>
  </sheetViews>
  <sheetFormatPr baseColWidth="8" defaultRowHeight="15"/>
  <cols>
    <col width="38" customWidth="1" min="1" max="1"/>
    <col width="22" customWidth="1" min="2" max="2"/>
    <col width="22" customWidth="1" min="3" max="3"/>
    <col width="22" customWidth="1" min="4" max="4"/>
    <col width="55"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30" customHeight="1">
      <c r="A1" s="1" t="inlineStr">
        <is>
          <t>LEADFLOW AI V2 — THREE-SCENARIO FINANCIAL SUMMARY</t>
        </is>
      </c>
    </row>
    <row r="2">
      <c r="A2" s="2" t="inlineStr">
        <is>
          <t>Conservative | Base Case | Aggressive | All scenarios use Polsia-Augmented architecture | De Villiers (Lead) | March 2026</t>
        </is>
      </c>
    </row>
    <row r="3">
      <c r="A3" s="4" t="inlineStr"/>
      <c r="B3" s="4" t="inlineStr">
        <is>
          <t>Month 0
(Setup)</t>
        </is>
      </c>
      <c r="C3" s="4" t="inlineStr">
        <is>
          <t>Month 1</t>
        </is>
      </c>
      <c r="D3" s="4" t="inlineStr">
        <is>
          <t>Month 2</t>
        </is>
      </c>
      <c r="E3" s="4" t="inlineStr">
        <is>
          <t>Month 3</t>
        </is>
      </c>
      <c r="F3" s="4" t="inlineStr">
        <is>
          <t>Month 4</t>
        </is>
      </c>
      <c r="G3" s="4" t="inlineStr">
        <is>
          <t>Month 5</t>
        </is>
      </c>
      <c r="H3" s="4" t="inlineStr">
        <is>
          <t>Month 6</t>
        </is>
      </c>
      <c r="I3" s="4" t="inlineStr">
        <is>
          <t>Month 7</t>
        </is>
      </c>
      <c r="J3" s="4" t="inlineStr">
        <is>
          <t>Month 8</t>
        </is>
      </c>
      <c r="K3" s="4" t="inlineStr">
        <is>
          <t>Month 9</t>
        </is>
      </c>
      <c r="L3" s="4" t="inlineStr">
        <is>
          <t>Month 10</t>
        </is>
      </c>
      <c r="M3" s="4" t="inlineStr">
        <is>
          <t>Month 11</t>
        </is>
      </c>
      <c r="N3" s="4" t="inlineStr">
        <is>
          <t>Month 12</t>
        </is>
      </c>
      <c r="O3" s="4" t="inlineStr">
        <is>
          <t>TOTAL</t>
        </is>
      </c>
    </row>
    <row r="4" ht="24" customHeight="1">
      <c r="A4" s="93" t="inlineStr">
        <is>
          <t>SCENARIO: CONSERVATIVE — Slow Network Activation, Long Sales Cycle</t>
        </is>
      </c>
    </row>
    <row r="5">
      <c r="A5" s="94" t="inlineStr">
        <is>
          <t>Assumptions: 2-3 months infra ramp | Avg retainer $2,500 (Launch-heavy) | 8-10% churn | ~14-18 clients Year-end | No major network wins</t>
        </is>
      </c>
    </row>
    <row r="6">
      <c r="A6" s="95" t="inlineStr">
        <is>
          <t>Active Clients (end of month)</t>
        </is>
      </c>
      <c r="B6" s="96" t="n">
        <v>0</v>
      </c>
      <c r="C6" s="96" t="n">
        <v>0</v>
      </c>
      <c r="D6" s="96" t="n">
        <v>1</v>
      </c>
      <c r="E6" s="96" t="n">
        <v>2</v>
      </c>
      <c r="F6" s="96" t="n">
        <v>3</v>
      </c>
      <c r="G6" s="96" t="n">
        <v>5</v>
      </c>
      <c r="H6" s="96" t="n">
        <v>7</v>
      </c>
      <c r="I6" s="96" t="n">
        <v>9</v>
      </c>
      <c r="J6" s="96" t="n">
        <v>11</v>
      </c>
      <c r="K6" s="96" t="n">
        <v>12</v>
      </c>
      <c r="L6" s="96" t="n">
        <v>14</v>
      </c>
      <c r="M6" s="96" t="n">
        <v>16</v>
      </c>
      <c r="N6" s="96" t="n">
        <v>18</v>
      </c>
      <c r="O6" s="97" t="n"/>
    </row>
    <row r="7">
      <c r="A7" s="95" t="inlineStr">
        <is>
          <t>Average Retainer ($/month)</t>
        </is>
      </c>
      <c r="B7" s="98" t="n">
        <v>0</v>
      </c>
      <c r="C7" s="98" t="n">
        <v>0</v>
      </c>
      <c r="D7" s="98" t="n">
        <v>2500</v>
      </c>
      <c r="E7" s="98" t="n">
        <v>2500</v>
      </c>
      <c r="F7" s="98" t="n">
        <v>2500</v>
      </c>
      <c r="G7" s="98" t="n">
        <v>2600</v>
      </c>
      <c r="H7" s="98" t="n">
        <v>2700</v>
      </c>
      <c r="I7" s="98" t="n">
        <v>2800</v>
      </c>
      <c r="J7" s="98" t="n">
        <v>2800</v>
      </c>
      <c r="K7" s="98" t="n">
        <v>2900</v>
      </c>
      <c r="L7" s="98" t="n">
        <v>2900</v>
      </c>
      <c r="M7" s="98" t="n">
        <v>3000</v>
      </c>
      <c r="N7" s="98" t="n">
        <v>3000</v>
      </c>
      <c r="O7" s="97" t="n"/>
    </row>
    <row r="8">
      <c r="A8" s="95" t="inlineStr">
        <is>
          <t>Churn Rate (monthly %)</t>
        </is>
      </c>
      <c r="B8" s="99" t="n">
        <v>0</v>
      </c>
      <c r="C8" s="99" t="n">
        <v>0</v>
      </c>
      <c r="D8" s="99" t="n">
        <v>0.1</v>
      </c>
      <c r="E8" s="99" t="n">
        <v>0.1</v>
      </c>
      <c r="F8" s="99" t="n">
        <v>0.09</v>
      </c>
      <c r="G8" s="99" t="n">
        <v>0.08</v>
      </c>
      <c r="H8" s="99" t="n">
        <v>0.08</v>
      </c>
      <c r="I8" s="99" t="n">
        <v>0.08</v>
      </c>
      <c r="J8" s="99" t="n">
        <v>0.08</v>
      </c>
      <c r="K8" s="99" t="n">
        <v>0.07000000000000001</v>
      </c>
      <c r="L8" s="99" t="n">
        <v>0.07000000000000001</v>
      </c>
      <c r="M8" s="99" t="n">
        <v>0.07000000000000001</v>
      </c>
      <c r="N8" s="99" t="n">
        <v>0.07000000000000001</v>
      </c>
      <c r="O8" s="97" t="n"/>
    </row>
    <row r="9">
      <c r="A9" s="100" t="inlineStr">
        <is>
          <t>Retainer Revenue (clients × retainer)</t>
        </is>
      </c>
      <c r="B9" s="101">
        <f>B7*B8</f>
        <v/>
      </c>
      <c r="C9" s="101">
        <f>C7*C8</f>
        <v/>
      </c>
      <c r="D9" s="101">
        <f>D7*D8</f>
        <v/>
      </c>
      <c r="E9" s="101">
        <f>E7*E8</f>
        <v/>
      </c>
      <c r="F9" s="101">
        <f>F7*F8</f>
        <v/>
      </c>
      <c r="G9" s="101">
        <f>G7*G8</f>
        <v/>
      </c>
      <c r="H9" s="101">
        <f>H7*H8</f>
        <v/>
      </c>
      <c r="I9" s="101">
        <f>I7*I8</f>
        <v/>
      </c>
      <c r="J9" s="101">
        <f>J7*J8</f>
        <v/>
      </c>
      <c r="K9" s="101">
        <f>K7*K8</f>
        <v/>
      </c>
      <c r="L9" s="101">
        <f>L7*L8</f>
        <v/>
      </c>
      <c r="M9" s="101">
        <f>M7*M8</f>
        <v/>
      </c>
      <c r="N9" s="101">
        <f>N7*N8</f>
        <v/>
      </c>
    </row>
    <row r="10">
      <c r="A10" s="67" t="inlineStr">
        <is>
          <t>Estimated Operating Costs (28% of revenue + fixed $1,500)</t>
        </is>
      </c>
      <c r="B10" s="68">
        <f>MAX(1500,B9*0.28)</f>
        <v/>
      </c>
      <c r="C10" s="68">
        <f>MAX(1500,C9*0.28)</f>
        <v/>
      </c>
      <c r="D10" s="68">
        <f>MAX(1500,D9*0.28)</f>
        <v/>
      </c>
      <c r="E10" s="68">
        <f>MAX(1500,E9*0.28)</f>
        <v/>
      </c>
      <c r="F10" s="68">
        <f>MAX(1500,F9*0.28)</f>
        <v/>
      </c>
      <c r="G10" s="68">
        <f>MAX(1500,G9*0.28)</f>
        <v/>
      </c>
      <c r="H10" s="68">
        <f>MAX(1500,H9*0.28)</f>
        <v/>
      </c>
      <c r="I10" s="68">
        <f>MAX(1500,I9*0.28)</f>
        <v/>
      </c>
      <c r="J10" s="68">
        <f>MAX(1500,J9*0.28)</f>
        <v/>
      </c>
      <c r="K10" s="68">
        <f>MAX(1500,K9*0.28)</f>
        <v/>
      </c>
      <c r="L10" s="68">
        <f>MAX(1500,L9*0.28)</f>
        <v/>
      </c>
      <c r="M10" s="68">
        <f>MAX(1500,M9*0.28)</f>
        <v/>
      </c>
      <c r="N10" s="68">
        <f>MAX(1500,N9*0.28)</f>
        <v/>
      </c>
    </row>
    <row r="11">
      <c r="A11" s="69" t="inlineStr">
        <is>
          <t>Net Cashflow</t>
        </is>
      </c>
      <c r="B11" s="102">
        <f>B9-B10</f>
        <v/>
      </c>
      <c r="C11" s="102">
        <f>C9-C10</f>
        <v/>
      </c>
      <c r="D11" s="102">
        <f>D9-D10</f>
        <v/>
      </c>
      <c r="E11" s="102">
        <f>E9-E10</f>
        <v/>
      </c>
      <c r="F11" s="102">
        <f>F9-F10</f>
        <v/>
      </c>
      <c r="G11" s="102">
        <f>G9-G10</f>
        <v/>
      </c>
      <c r="H11" s="102">
        <f>H9-H10</f>
        <v/>
      </c>
      <c r="I11" s="102">
        <f>I9-I10</f>
        <v/>
      </c>
      <c r="J11" s="102">
        <f>J9-J10</f>
        <v/>
      </c>
      <c r="K11" s="102">
        <f>K9-K10</f>
        <v/>
      </c>
      <c r="L11" s="102">
        <f>L9-L10</f>
        <v/>
      </c>
      <c r="M11" s="102">
        <f>M9-M10</f>
        <v/>
      </c>
      <c r="N11" s="102">
        <f>N9-N10</f>
        <v/>
      </c>
    </row>
    <row r="12">
      <c r="A12" s="69" t="inlineStr">
        <is>
          <t>Cumulative Cashflow</t>
        </is>
      </c>
      <c r="B12" s="102">
        <f>B11</f>
        <v/>
      </c>
      <c r="C12" s="102">
        <f>B12+C11</f>
        <v/>
      </c>
      <c r="D12" s="102">
        <f>C12+D11</f>
        <v/>
      </c>
      <c r="E12" s="102">
        <f>D12+E11</f>
        <v/>
      </c>
      <c r="F12" s="102">
        <f>E12+F11</f>
        <v/>
      </c>
      <c r="G12" s="102">
        <f>F12+G11</f>
        <v/>
      </c>
      <c r="H12" s="102">
        <f>G12+H11</f>
        <v/>
      </c>
      <c r="I12" s="102">
        <f>H12+I11</f>
        <v/>
      </c>
      <c r="J12" s="102">
        <f>I12+J11</f>
        <v/>
      </c>
      <c r="K12" s="102">
        <f>J12+K11</f>
        <v/>
      </c>
      <c r="L12" s="102">
        <f>K12+L11</f>
        <v/>
      </c>
      <c r="M12" s="102">
        <f>L12+M11</f>
        <v/>
      </c>
      <c r="N12" s="102">
        <f>M12+N11</f>
        <v/>
      </c>
    </row>
    <row r="14" ht="24" customHeight="1">
      <c r="A14" s="103" t="inlineStr">
        <is>
          <t>SCENARIO: BASE CASE — Realistic Network Activation, Steady Growth</t>
        </is>
      </c>
    </row>
    <row r="15">
      <c r="A15" s="104" t="inlineStr">
        <is>
          <t>Assumptions: Month 1-2 network warm-up | Avg retainer $3,000 (blended Launch/Growth) | 5-6% churn | ~22-27 clients Year-end | Normal execution</t>
        </is>
      </c>
    </row>
    <row r="16">
      <c r="A16" s="105" t="inlineStr">
        <is>
          <t>Active Clients (end of month)</t>
        </is>
      </c>
      <c r="B16" s="106" t="n">
        <v>0</v>
      </c>
      <c r="C16" s="106" t="n">
        <v>2</v>
      </c>
      <c r="D16" s="106" t="n">
        <v>4</v>
      </c>
      <c r="E16" s="106" t="n">
        <v>6</v>
      </c>
      <c r="F16" s="106" t="n">
        <v>8</v>
      </c>
      <c r="G16" s="106" t="n">
        <v>12</v>
      </c>
      <c r="H16" s="106" t="n">
        <v>15</v>
      </c>
      <c r="I16" s="106" t="n">
        <v>18</v>
      </c>
      <c r="J16" s="106" t="n">
        <v>20</v>
      </c>
      <c r="K16" s="106" t="n">
        <v>23</v>
      </c>
      <c r="L16" s="106" t="n">
        <v>25</v>
      </c>
      <c r="M16" s="106" t="n">
        <v>27</v>
      </c>
      <c r="N16" s="106" t="n">
        <v>27</v>
      </c>
      <c r="O16" s="107" t="n"/>
    </row>
    <row r="17">
      <c r="A17" s="105" t="inlineStr">
        <is>
          <t>Average Retainer ($/month)</t>
        </is>
      </c>
      <c r="B17" s="108" t="n">
        <v>0</v>
      </c>
      <c r="C17" s="108" t="n">
        <v>0</v>
      </c>
      <c r="D17" s="108" t="n">
        <v>2500</v>
      </c>
      <c r="E17" s="108" t="n">
        <v>2700</v>
      </c>
      <c r="F17" s="108" t="n">
        <v>2800</v>
      </c>
      <c r="G17" s="108" t="n">
        <v>3000</v>
      </c>
      <c r="H17" s="108" t="n">
        <v>3000</v>
      </c>
      <c r="I17" s="108" t="n">
        <v>3100</v>
      </c>
      <c r="J17" s="108" t="n">
        <v>3200</v>
      </c>
      <c r="K17" s="108" t="n">
        <v>3200</v>
      </c>
      <c r="L17" s="108" t="n">
        <v>3300</v>
      </c>
      <c r="M17" s="108" t="n">
        <v>3400</v>
      </c>
      <c r="N17" s="108" t="n">
        <v>3500</v>
      </c>
      <c r="O17" s="107" t="n"/>
    </row>
    <row r="18">
      <c r="A18" s="105" t="inlineStr">
        <is>
          <t>Churn Rate (monthly %)</t>
        </is>
      </c>
      <c r="B18" s="109" t="n">
        <v>0</v>
      </c>
      <c r="C18" s="109" t="n">
        <v>0</v>
      </c>
      <c r="D18" s="109" t="n">
        <v>0.08</v>
      </c>
      <c r="E18" s="109" t="n">
        <v>0.07000000000000001</v>
      </c>
      <c r="F18" s="109" t="n">
        <v>0.06</v>
      </c>
      <c r="G18" s="109" t="n">
        <v>0.06</v>
      </c>
      <c r="H18" s="109" t="n">
        <v>0.06</v>
      </c>
      <c r="I18" s="109" t="n">
        <v>0.05</v>
      </c>
      <c r="J18" s="109" t="n">
        <v>0.05</v>
      </c>
      <c r="K18" s="109" t="n">
        <v>0.05</v>
      </c>
      <c r="L18" s="109" t="n">
        <v>0.05</v>
      </c>
      <c r="M18" s="109" t="n">
        <v>0.04</v>
      </c>
      <c r="N18" s="109" t="n">
        <v>0.04</v>
      </c>
      <c r="O18" s="107" t="n"/>
    </row>
    <row r="19">
      <c r="A19" s="100" t="inlineStr">
        <is>
          <t>Retainer Revenue (clients × retainer)</t>
        </is>
      </c>
      <c r="B19" s="101">
        <f>B17*B18</f>
        <v/>
      </c>
      <c r="C19" s="101">
        <f>C17*C18</f>
        <v/>
      </c>
      <c r="D19" s="101">
        <f>D17*D18</f>
        <v/>
      </c>
      <c r="E19" s="101">
        <f>E17*E18</f>
        <v/>
      </c>
      <c r="F19" s="101">
        <f>F17*F18</f>
        <v/>
      </c>
      <c r="G19" s="101">
        <f>G17*G18</f>
        <v/>
      </c>
      <c r="H19" s="101">
        <f>H17*H18</f>
        <v/>
      </c>
      <c r="I19" s="101">
        <f>I17*I18</f>
        <v/>
      </c>
      <c r="J19" s="101">
        <f>J17*J18</f>
        <v/>
      </c>
      <c r="K19" s="101">
        <f>K17*K18</f>
        <v/>
      </c>
      <c r="L19" s="101">
        <f>L17*L18</f>
        <v/>
      </c>
      <c r="M19" s="101">
        <f>M17*M18</f>
        <v/>
      </c>
      <c r="N19" s="101">
        <f>N17*N18</f>
        <v/>
      </c>
    </row>
    <row r="20">
      <c r="A20" s="67" t="inlineStr">
        <is>
          <t>Estimated Operating Costs (28% of revenue + fixed $1,500)</t>
        </is>
      </c>
      <c r="B20" s="68">
        <f>MAX(1500,B19*0.28)</f>
        <v/>
      </c>
      <c r="C20" s="68">
        <f>MAX(1500,C19*0.28)</f>
        <v/>
      </c>
      <c r="D20" s="68">
        <f>MAX(1500,D19*0.28)</f>
        <v/>
      </c>
      <c r="E20" s="68">
        <f>MAX(1500,E19*0.28)</f>
        <v/>
      </c>
      <c r="F20" s="68">
        <f>MAX(1500,F19*0.28)</f>
        <v/>
      </c>
      <c r="G20" s="68">
        <f>MAX(1500,G19*0.28)</f>
        <v/>
      </c>
      <c r="H20" s="68">
        <f>MAX(1500,H19*0.28)</f>
        <v/>
      </c>
      <c r="I20" s="68">
        <f>MAX(1500,I19*0.28)</f>
        <v/>
      </c>
      <c r="J20" s="68">
        <f>MAX(1500,J19*0.28)</f>
        <v/>
      </c>
      <c r="K20" s="68">
        <f>MAX(1500,K19*0.28)</f>
        <v/>
      </c>
      <c r="L20" s="68">
        <f>MAX(1500,L19*0.28)</f>
        <v/>
      </c>
      <c r="M20" s="68">
        <f>MAX(1500,M19*0.28)</f>
        <v/>
      </c>
      <c r="N20" s="68">
        <f>MAX(1500,N19*0.28)</f>
        <v/>
      </c>
    </row>
    <row r="21">
      <c r="A21" s="69" t="inlineStr">
        <is>
          <t>Net Cashflow</t>
        </is>
      </c>
      <c r="B21" s="102">
        <f>B19-B20</f>
        <v/>
      </c>
      <c r="C21" s="102">
        <f>C19-C20</f>
        <v/>
      </c>
      <c r="D21" s="102">
        <f>D19-D20</f>
        <v/>
      </c>
      <c r="E21" s="102">
        <f>E19-E20</f>
        <v/>
      </c>
      <c r="F21" s="102">
        <f>F19-F20</f>
        <v/>
      </c>
      <c r="G21" s="102">
        <f>G19-G20</f>
        <v/>
      </c>
      <c r="H21" s="102">
        <f>H19-H20</f>
        <v/>
      </c>
      <c r="I21" s="102">
        <f>I19-I20</f>
        <v/>
      </c>
      <c r="J21" s="102">
        <f>J19-J20</f>
        <v/>
      </c>
      <c r="K21" s="102">
        <f>K19-K20</f>
        <v/>
      </c>
      <c r="L21" s="102">
        <f>L19-L20</f>
        <v/>
      </c>
      <c r="M21" s="102">
        <f>M19-M20</f>
        <v/>
      </c>
      <c r="N21" s="102">
        <f>N19-N20</f>
        <v/>
      </c>
    </row>
    <row r="22">
      <c r="A22" s="69" t="inlineStr">
        <is>
          <t>Cumulative Cashflow</t>
        </is>
      </c>
      <c r="B22" s="102">
        <f>B21</f>
        <v/>
      </c>
      <c r="C22" s="102">
        <f>B22+C21</f>
        <v/>
      </c>
      <c r="D22" s="102">
        <f>C22+D21</f>
        <v/>
      </c>
      <c r="E22" s="102">
        <f>D22+E21</f>
        <v/>
      </c>
      <c r="F22" s="102">
        <f>E22+F21</f>
        <v/>
      </c>
      <c r="G22" s="102">
        <f>F22+G21</f>
        <v/>
      </c>
      <c r="H22" s="102">
        <f>G22+H21</f>
        <v/>
      </c>
      <c r="I22" s="102">
        <f>H22+I21</f>
        <v/>
      </c>
      <c r="J22" s="102">
        <f>I22+J21</f>
        <v/>
      </c>
      <c r="K22" s="102">
        <f>J22+K21</f>
        <v/>
      </c>
      <c r="L22" s="102">
        <f>K22+L21</f>
        <v/>
      </c>
      <c r="M22" s="102">
        <f>L22+M21</f>
        <v/>
      </c>
      <c r="N22" s="102">
        <f>M22+N21</f>
        <v/>
      </c>
    </row>
    <row r="24" ht="24" customHeight="1">
      <c r="A24" s="110" t="inlineStr">
        <is>
          <t>SCENARIO: AGGRESSIVE — Fast Network Win, Referral Engine Fires Early</t>
        </is>
      </c>
    </row>
    <row r="25">
      <c r="A25" s="111" t="inlineStr">
        <is>
          <t>Assumptions: Early inlumiSA/JigsawAI client from Month 1 | Avg retainer $3,500 (Growth-heavy) | 4-5% churn | 30+ clients Year-end | Referrals from Month 3</t>
        </is>
      </c>
    </row>
    <row r="26">
      <c r="A26" s="112" t="inlineStr">
        <is>
          <t>Active Clients (end of month)</t>
        </is>
      </c>
      <c r="B26" s="113" t="n">
        <v>0</v>
      </c>
      <c r="C26" s="113" t="n">
        <v>3</v>
      </c>
      <c r="D26" s="113" t="n">
        <v>6</v>
      </c>
      <c r="E26" s="113" t="n">
        <v>9</v>
      </c>
      <c r="F26" s="113" t="n">
        <v>12</v>
      </c>
      <c r="G26" s="113" t="n">
        <v>16</v>
      </c>
      <c r="H26" s="113" t="n">
        <v>19</v>
      </c>
      <c r="I26" s="113" t="n">
        <v>22</v>
      </c>
      <c r="J26" s="113" t="n">
        <v>24</v>
      </c>
      <c r="K26" s="113" t="n">
        <v>27</v>
      </c>
      <c r="L26" s="113" t="n">
        <v>29</v>
      </c>
      <c r="M26" s="113" t="n">
        <v>30</v>
      </c>
      <c r="N26" s="113" t="n">
        <v>30</v>
      </c>
      <c r="O26" s="114" t="n"/>
    </row>
    <row r="27">
      <c r="A27" s="112" t="inlineStr">
        <is>
          <t>Average Retainer ($/month)</t>
        </is>
      </c>
      <c r="B27" s="63" t="n">
        <v>0</v>
      </c>
      <c r="C27" s="63" t="n">
        <v>3000</v>
      </c>
      <c r="D27" s="63" t="n">
        <v>3200</v>
      </c>
      <c r="E27" s="63" t="n">
        <v>3500</v>
      </c>
      <c r="F27" s="63" t="n">
        <v>3500</v>
      </c>
      <c r="G27" s="63" t="n">
        <v>3500</v>
      </c>
      <c r="H27" s="63" t="n">
        <v>3600</v>
      </c>
      <c r="I27" s="63" t="n">
        <v>3700</v>
      </c>
      <c r="J27" s="63" t="n">
        <v>3800</v>
      </c>
      <c r="K27" s="63" t="n">
        <v>3900</v>
      </c>
      <c r="L27" s="63" t="n">
        <v>4000</v>
      </c>
      <c r="M27" s="63" t="n">
        <v>4000</v>
      </c>
      <c r="N27" s="63" t="n">
        <v>4000</v>
      </c>
      <c r="O27" s="114" t="n"/>
    </row>
    <row r="28">
      <c r="A28" s="112" t="inlineStr">
        <is>
          <t>Churn Rate (monthly %)</t>
        </is>
      </c>
      <c r="B28" s="115" t="n">
        <v>0</v>
      </c>
      <c r="C28" s="115" t="n">
        <v>0</v>
      </c>
      <c r="D28" s="115" t="n">
        <v>0.06</v>
      </c>
      <c r="E28" s="115" t="n">
        <v>0.05</v>
      </c>
      <c r="F28" s="115" t="n">
        <v>0.05</v>
      </c>
      <c r="G28" s="115" t="n">
        <v>0.05</v>
      </c>
      <c r="H28" s="115" t="n">
        <v>0.04</v>
      </c>
      <c r="I28" s="115" t="n">
        <v>0.04</v>
      </c>
      <c r="J28" s="115" t="n">
        <v>0.04</v>
      </c>
      <c r="K28" s="115" t="n">
        <v>0.04</v>
      </c>
      <c r="L28" s="115" t="n">
        <v>0.04</v>
      </c>
      <c r="M28" s="115" t="n">
        <v>0.04</v>
      </c>
      <c r="N28" s="115" t="n">
        <v>0.04</v>
      </c>
      <c r="O28" s="114" t="n"/>
    </row>
    <row r="29">
      <c r="A29" s="100" t="inlineStr">
        <is>
          <t>Retainer Revenue (clients × retainer)</t>
        </is>
      </c>
      <c r="B29" s="101">
        <f>B27*B28</f>
        <v/>
      </c>
      <c r="C29" s="101">
        <f>C27*C28</f>
        <v/>
      </c>
      <c r="D29" s="101">
        <f>D27*D28</f>
        <v/>
      </c>
      <c r="E29" s="101">
        <f>E27*E28</f>
        <v/>
      </c>
      <c r="F29" s="101">
        <f>F27*F28</f>
        <v/>
      </c>
      <c r="G29" s="101">
        <f>G27*G28</f>
        <v/>
      </c>
      <c r="H29" s="101">
        <f>H27*H28</f>
        <v/>
      </c>
      <c r="I29" s="101">
        <f>I27*I28</f>
        <v/>
      </c>
      <c r="J29" s="101">
        <f>J27*J28</f>
        <v/>
      </c>
      <c r="K29" s="101">
        <f>K27*K28</f>
        <v/>
      </c>
      <c r="L29" s="101">
        <f>L27*L28</f>
        <v/>
      </c>
      <c r="M29" s="101">
        <f>M27*M28</f>
        <v/>
      </c>
      <c r="N29" s="101">
        <f>N27*N28</f>
        <v/>
      </c>
    </row>
    <row r="30">
      <c r="A30" s="67" t="inlineStr">
        <is>
          <t>Estimated Operating Costs (28% of revenue + fixed $1,500)</t>
        </is>
      </c>
      <c r="B30" s="68">
        <f>MAX(1500,B29*0.28)</f>
        <v/>
      </c>
      <c r="C30" s="68">
        <f>MAX(1500,C29*0.28)</f>
        <v/>
      </c>
      <c r="D30" s="68">
        <f>MAX(1500,D29*0.28)</f>
        <v/>
      </c>
      <c r="E30" s="68">
        <f>MAX(1500,E29*0.28)</f>
        <v/>
      </c>
      <c r="F30" s="68">
        <f>MAX(1500,F29*0.28)</f>
        <v/>
      </c>
      <c r="G30" s="68">
        <f>MAX(1500,G29*0.28)</f>
        <v/>
      </c>
      <c r="H30" s="68">
        <f>MAX(1500,H29*0.28)</f>
        <v/>
      </c>
      <c r="I30" s="68">
        <f>MAX(1500,I29*0.28)</f>
        <v/>
      </c>
      <c r="J30" s="68">
        <f>MAX(1500,J29*0.28)</f>
        <v/>
      </c>
      <c r="K30" s="68">
        <f>MAX(1500,K29*0.28)</f>
        <v/>
      </c>
      <c r="L30" s="68">
        <f>MAX(1500,L29*0.28)</f>
        <v/>
      </c>
      <c r="M30" s="68">
        <f>MAX(1500,M29*0.28)</f>
        <v/>
      </c>
      <c r="N30" s="68">
        <f>MAX(1500,N29*0.28)</f>
        <v/>
      </c>
    </row>
    <row r="31">
      <c r="A31" s="69" t="inlineStr">
        <is>
          <t>Net Cashflow</t>
        </is>
      </c>
      <c r="B31" s="102">
        <f>B29-B30</f>
        <v/>
      </c>
      <c r="C31" s="102">
        <f>C29-C30</f>
        <v/>
      </c>
      <c r="D31" s="102">
        <f>D29-D30</f>
        <v/>
      </c>
      <c r="E31" s="102">
        <f>E29-E30</f>
        <v/>
      </c>
      <c r="F31" s="102">
        <f>F29-F30</f>
        <v/>
      </c>
      <c r="G31" s="102">
        <f>G29-G30</f>
        <v/>
      </c>
      <c r="H31" s="102">
        <f>H29-H30</f>
        <v/>
      </c>
      <c r="I31" s="102">
        <f>I29-I30</f>
        <v/>
      </c>
      <c r="J31" s="102">
        <f>J29-J30</f>
        <v/>
      </c>
      <c r="K31" s="102">
        <f>K29-K30</f>
        <v/>
      </c>
      <c r="L31" s="102">
        <f>L29-L30</f>
        <v/>
      </c>
      <c r="M31" s="102">
        <f>M29-M30</f>
        <v/>
      </c>
      <c r="N31" s="102">
        <f>N29-N30</f>
        <v/>
      </c>
    </row>
    <row r="32">
      <c r="A32" s="69" t="inlineStr">
        <is>
          <t>Cumulative Cashflow</t>
        </is>
      </c>
      <c r="B32" s="102">
        <f>B31</f>
        <v/>
      </c>
      <c r="C32" s="102">
        <f>B32+C31</f>
        <v/>
      </c>
      <c r="D32" s="102">
        <f>C32+D31</f>
        <v/>
      </c>
      <c r="E32" s="102">
        <f>D32+E31</f>
        <v/>
      </c>
      <c r="F32" s="102">
        <f>E32+F31</f>
        <v/>
      </c>
      <c r="G32" s="102">
        <f>F32+G31</f>
        <v/>
      </c>
      <c r="H32" s="102">
        <f>G32+H31</f>
        <v/>
      </c>
      <c r="I32" s="102">
        <f>H32+I31</f>
        <v/>
      </c>
      <c r="J32" s="102">
        <f>I32+J31</f>
        <v/>
      </c>
      <c r="K32" s="102">
        <f>J32+K31</f>
        <v/>
      </c>
      <c r="L32" s="102">
        <f>K32+L31</f>
        <v/>
      </c>
      <c r="M32" s="102">
        <f>L32+M31</f>
        <v/>
      </c>
      <c r="N32" s="102">
        <f>M32+N31</f>
        <v/>
      </c>
    </row>
    <row r="34">
      <c r="A34" s="24" t="inlineStr">
        <is>
          <t>SCENARIO COMPARISON SUMMARY</t>
        </is>
      </c>
    </row>
    <row r="35">
      <c r="A35" s="4" t="inlineStr">
        <is>
          <t>Metric</t>
        </is>
      </c>
      <c r="B35" s="4" t="inlineStr">
        <is>
          <t>Conservative</t>
        </is>
      </c>
      <c r="C35" s="4" t="inlineStr">
        <is>
          <t>Base Case</t>
        </is>
      </c>
      <c r="D35" s="4" t="inlineStr">
        <is>
          <t>Aggressive</t>
        </is>
      </c>
      <c r="E35" s="4" t="inlineStr"/>
      <c r="F35" s="116" t="n"/>
      <c r="G35" s="116" t="n"/>
      <c r="H35" s="116" t="n"/>
      <c r="I35" s="116" t="n"/>
      <c r="J35" s="116" t="n"/>
      <c r="K35" s="116" t="n"/>
      <c r="L35" s="116" t="n"/>
      <c r="M35" s="116" t="n"/>
      <c r="N35" s="117" t="n"/>
    </row>
    <row r="36">
      <c r="A36" s="118" t="inlineStr">
        <is>
          <t>Year-end active clients</t>
        </is>
      </c>
      <c r="B36" s="119" t="inlineStr">
        <is>
          <t>14-18</t>
        </is>
      </c>
      <c r="C36" s="78" t="inlineStr">
        <is>
          <t>22-27</t>
        </is>
      </c>
      <c r="D36" s="120" t="inlineStr">
        <is>
          <t>30+</t>
        </is>
      </c>
      <c r="E36" s="121" t="inlineStr">
        <is>
          <t>Plan for Base, budget for Conservative</t>
        </is>
      </c>
    </row>
    <row r="37">
      <c r="A37" s="122" t="inlineStr">
        <is>
          <t>Year 1 gross revenue (est.)</t>
        </is>
      </c>
      <c r="B37" s="123" t="inlineStr">
        <is>
          <t>~$380K-$480K</t>
        </is>
      </c>
      <c r="C37" s="124" t="inlineStr">
        <is>
          <t>~$600K-$720K</t>
        </is>
      </c>
      <c r="D37" s="125" t="inlineStr">
        <is>
          <t>~$1.0M-$1.2M</t>
        </is>
      </c>
      <c r="E37" s="126" t="inlineStr">
        <is>
          <t>Conservative if no network wins by Month 2</t>
        </is>
      </c>
    </row>
    <row r="38">
      <c r="A38" s="118" t="inlineStr">
        <is>
          <t>Break-even month</t>
        </is>
      </c>
      <c r="B38" s="119" t="inlineStr">
        <is>
          <t>Month 7-8</t>
        </is>
      </c>
      <c r="C38" s="78" t="inlineStr">
        <is>
          <t>Month 5-6</t>
        </is>
      </c>
      <c r="D38" s="120" t="inlineStr">
        <is>
          <t>Month 3-4</t>
        </is>
      </c>
      <c r="E38" s="121" t="inlineStr">
        <is>
          <t>Year 2 target if Base Case achieved</t>
        </is>
      </c>
    </row>
    <row r="39">
      <c r="A39" s="122" t="inlineStr">
        <is>
          <t>Average retainer (Year-end)</t>
        </is>
      </c>
      <c r="B39" s="123" t="inlineStr">
        <is>
          <t>$3,000</t>
        </is>
      </c>
      <c r="C39" s="124" t="inlineStr">
        <is>
          <t>$3,500</t>
        </is>
      </c>
      <c r="D39" s="125" t="inlineStr">
        <is>
          <t>$4,000</t>
        </is>
      </c>
      <c r="E39" s="126" t="inlineStr">
        <is>
          <t>Guard: don't over-discount to win early clients</t>
        </is>
      </c>
    </row>
    <row r="40">
      <c r="A40" s="118" t="inlineStr">
        <is>
          <t>Year-end MRR</t>
        </is>
      </c>
      <c r="B40" s="119" t="inlineStr">
        <is>
          <t>$42K-$54K</t>
        </is>
      </c>
      <c r="C40" s="78" t="inlineStr">
        <is>
          <t>$80K-$95K</t>
        </is>
      </c>
      <c r="D40" s="120" t="inlineStr">
        <is>
          <t>$120K+</t>
        </is>
      </c>
      <c r="E40" s="121" t="inlineStr">
        <is>
          <t>Base Case MRR positions for strong Year 2</t>
        </is>
      </c>
    </row>
    <row r="41">
      <c r="A41" s="122" t="inlineStr">
        <is>
          <t>Key risk</t>
        </is>
      </c>
      <c r="B41" s="123" t="inlineStr">
        <is>
          <t>Slow early pipeline</t>
        </is>
      </c>
      <c r="C41" s="124" t="inlineStr">
        <is>
          <t>Execution pace</t>
        </is>
      </c>
      <c r="D41" s="125" t="inlineStr">
        <is>
          <t>Guarantee delivery at scale</t>
        </is>
      </c>
      <c r="E41" s="126" t="inlineStr">
        <is>
          <t>Monitor guarantee payout rate weekly</t>
        </is>
      </c>
    </row>
  </sheetData>
  <mergeCells count="16">
    <mergeCell ref="E36:N36"/>
    <mergeCell ref="E37:N37"/>
    <mergeCell ref="A34:N34"/>
    <mergeCell ref="E38:N38"/>
    <mergeCell ref="A4:N4"/>
    <mergeCell ref="E39:N39"/>
    <mergeCell ref="A24:N24"/>
    <mergeCell ref="A2:N2"/>
    <mergeCell ref="E40:N40"/>
    <mergeCell ref="A15:N15"/>
    <mergeCell ref="E41:N41"/>
    <mergeCell ref="A25:N25"/>
    <mergeCell ref="E35:N35"/>
    <mergeCell ref="A5:N5"/>
    <mergeCell ref="A14:N14"/>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2026-03-24T14:54:48Z</dcterms:created>
  <dcterms:modified xmlns:dcterms="http://purl.org/dc/terms/" xmlns:xsi="http://www.w3.org/2001/XMLSchema-instance" xsi:type="dcterms:W3CDTF">2026-03-24T14:54:49Z</dcterms:modified>
</cp:coreProperties>
</file>